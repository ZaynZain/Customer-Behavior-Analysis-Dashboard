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6.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7.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8.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NA\Downloads\Data Analyst\"/>
    </mc:Choice>
  </mc:AlternateContent>
  <xr:revisionPtr revIDLastSave="0" documentId="13_ncr:1_{63BD228C-9315-4BB2-A15A-CC1F6D4C8D97}" xr6:coauthVersionLast="47" xr6:coauthVersionMax="47" xr10:uidLastSave="{00000000-0000-0000-0000-000000000000}"/>
  <bookViews>
    <workbookView xWindow="-120" yWindow="-120" windowWidth="20730" windowHeight="11160" activeTab="1" xr2:uid="{00000000-000D-0000-FFFF-FFFF00000000}"/>
  </bookViews>
  <sheets>
    <sheet name="Povit" sheetId="2" r:id="rId1"/>
    <sheet name="Dashboard" sheetId="3" r:id="rId2"/>
    <sheet name="Customer_Behavior_Data" sheetId="1" r:id="rId3"/>
  </sheets>
  <definedNames>
    <definedName name="Slicer_City">#N/A</definedName>
    <definedName name="Slicer_Product_Category">#N/A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5" i="2" l="1"/>
  <c r="F11" i="2"/>
</calcChain>
</file>

<file path=xl/sharedStrings.xml><?xml version="1.0" encoding="utf-8"?>
<sst xmlns="http://schemas.openxmlformats.org/spreadsheetml/2006/main" count="1632" uniqueCount="457">
  <si>
    <t>Customer_ID</t>
  </si>
  <si>
    <t>Gender</t>
  </si>
  <si>
    <t>Age</t>
  </si>
  <si>
    <t>City</t>
  </si>
  <si>
    <t>Membership_Type</t>
  </si>
  <si>
    <t>Join_Date</t>
  </si>
  <si>
    <t>Purchase_Date</t>
  </si>
  <si>
    <t>Product_Category</t>
  </si>
  <si>
    <t>Purchase_Amount</t>
  </si>
  <si>
    <t>Payment_Method</t>
  </si>
  <si>
    <t>Discount_Applied</t>
  </si>
  <si>
    <t>Purchase_Channel</t>
  </si>
  <si>
    <t>Satisfaction_Score</t>
  </si>
  <si>
    <t>C001</t>
  </si>
  <si>
    <t>Male</t>
  </si>
  <si>
    <t>Lahore</t>
  </si>
  <si>
    <t>Gold</t>
  </si>
  <si>
    <t>2023-07-07</t>
  </si>
  <si>
    <t>2024-06-09</t>
  </si>
  <si>
    <t>Clothing</t>
  </si>
  <si>
    <t>Card</t>
  </si>
  <si>
    <t>No</t>
  </si>
  <si>
    <t>Store</t>
  </si>
  <si>
    <t>C002</t>
  </si>
  <si>
    <t>Female</t>
  </si>
  <si>
    <t>Faisalabad</t>
  </si>
  <si>
    <t>2023-06-04</t>
  </si>
  <si>
    <t>2024-03-02</t>
  </si>
  <si>
    <t>Sports</t>
  </si>
  <si>
    <t>Online</t>
  </si>
  <si>
    <t>C003</t>
  </si>
  <si>
    <t>Rawalpindi</t>
  </si>
  <si>
    <t>2023-08-31</t>
  </si>
  <si>
    <t>2024-09-07</t>
  </si>
  <si>
    <t>Beauty</t>
  </si>
  <si>
    <t>Yes</t>
  </si>
  <si>
    <t>C004</t>
  </si>
  <si>
    <t>Islamabad</t>
  </si>
  <si>
    <t>Basic</t>
  </si>
  <si>
    <t>2022-05-05</t>
  </si>
  <si>
    <t>2024-02-25</t>
  </si>
  <si>
    <t>Electronics</t>
  </si>
  <si>
    <t>Cash</t>
  </si>
  <si>
    <t>C005</t>
  </si>
  <si>
    <t>2023-08-28</t>
  </si>
  <si>
    <t>2024-04-17</t>
  </si>
  <si>
    <t>C006</t>
  </si>
  <si>
    <t>Karachi</t>
  </si>
  <si>
    <t>2022-06-13</t>
  </si>
  <si>
    <t>2024-04-18</t>
  </si>
  <si>
    <t>C007</t>
  </si>
  <si>
    <t>Silver</t>
  </si>
  <si>
    <t>2022-01-01</t>
  </si>
  <si>
    <t>2024-07-10</t>
  </si>
  <si>
    <t>Grocery</t>
  </si>
  <si>
    <t>C008</t>
  </si>
  <si>
    <t>2022-10-16</t>
  </si>
  <si>
    <t>2024-01-24</t>
  </si>
  <si>
    <t>C009</t>
  </si>
  <si>
    <t>2022-09-28</t>
  </si>
  <si>
    <t>2024-03-17</t>
  </si>
  <si>
    <t>C010</t>
  </si>
  <si>
    <t>2022-07-13</t>
  </si>
  <si>
    <t>2024-01-12</t>
  </si>
  <si>
    <t>C011</t>
  </si>
  <si>
    <t>2022-05-31</t>
  </si>
  <si>
    <t>2024-08-17</t>
  </si>
  <si>
    <t>C012</t>
  </si>
  <si>
    <t>2023-02-07</t>
  </si>
  <si>
    <t>2024-11-13</t>
  </si>
  <si>
    <t>C013</t>
  </si>
  <si>
    <t>2022-03-17</t>
  </si>
  <si>
    <t>2024-11-10</t>
  </si>
  <si>
    <t>C014</t>
  </si>
  <si>
    <t>2023-10-01</t>
  </si>
  <si>
    <t>2024-04-22</t>
  </si>
  <si>
    <t>C015</t>
  </si>
  <si>
    <t>2022-07-09</t>
  </si>
  <si>
    <t>2024-06-16</t>
  </si>
  <si>
    <t>C016</t>
  </si>
  <si>
    <t>2022-09-23</t>
  </si>
  <si>
    <t>2024-03-01</t>
  </si>
  <si>
    <t>C017</t>
  </si>
  <si>
    <t>2022-09-10</t>
  </si>
  <si>
    <t>2024-09-06</t>
  </si>
  <si>
    <t>C018</t>
  </si>
  <si>
    <t>2022-10-01</t>
  </si>
  <si>
    <t>2024-09-25</t>
  </si>
  <si>
    <t>C019</t>
  </si>
  <si>
    <t>2024-06-12</t>
  </si>
  <si>
    <t>C020</t>
  </si>
  <si>
    <t>2022-12-31</t>
  </si>
  <si>
    <t>2024-04-25</t>
  </si>
  <si>
    <t>C021</t>
  </si>
  <si>
    <t>2023-06-14</t>
  </si>
  <si>
    <t>2024-08-14</t>
  </si>
  <si>
    <t>C022</t>
  </si>
  <si>
    <t>2022-06-16</t>
  </si>
  <si>
    <t>2024-06-19</t>
  </si>
  <si>
    <t>C023</t>
  </si>
  <si>
    <t>2022-01-24</t>
  </si>
  <si>
    <t>2024-11-21</t>
  </si>
  <si>
    <t>C024</t>
  </si>
  <si>
    <t>2022-06-10</t>
  </si>
  <si>
    <t>2024-01-18</t>
  </si>
  <si>
    <t>C025</t>
  </si>
  <si>
    <t>2022-11-13</t>
  </si>
  <si>
    <t>2024-08-22</t>
  </si>
  <si>
    <t>C026</t>
  </si>
  <si>
    <t>2022-09-03</t>
  </si>
  <si>
    <t>2024-07-20</t>
  </si>
  <si>
    <t>C027</t>
  </si>
  <si>
    <t>2023-03-09</t>
  </si>
  <si>
    <t>2024-12-07</t>
  </si>
  <si>
    <t>C028</t>
  </si>
  <si>
    <t>2022-11-20</t>
  </si>
  <si>
    <t>2024-08-05</t>
  </si>
  <si>
    <t>C029</t>
  </si>
  <si>
    <t>2023-05-02</t>
  </si>
  <si>
    <t>C030</t>
  </si>
  <si>
    <t>2023-07-06</t>
  </si>
  <si>
    <t>2024-01-21</t>
  </si>
  <si>
    <t>C031</t>
  </si>
  <si>
    <t>2022-09-09</t>
  </si>
  <si>
    <t>2024-12-16</t>
  </si>
  <si>
    <t>C032</t>
  </si>
  <si>
    <t>2023-04-24</t>
  </si>
  <si>
    <t>2024-05-26</t>
  </si>
  <si>
    <t>C033</t>
  </si>
  <si>
    <t>2023-01-19</t>
  </si>
  <si>
    <t>2024-03-13</t>
  </si>
  <si>
    <t>C034</t>
  </si>
  <si>
    <t>2023-07-25</t>
  </si>
  <si>
    <t>2024-01-31</t>
  </si>
  <si>
    <t>C035</t>
  </si>
  <si>
    <t>2022-05-08</t>
  </si>
  <si>
    <t>2024-06-29</t>
  </si>
  <si>
    <t>C036</t>
  </si>
  <si>
    <t>2023-02-28</t>
  </si>
  <si>
    <t>2024-12-19</t>
  </si>
  <si>
    <t>C037</t>
  </si>
  <si>
    <t>2022-08-08</t>
  </si>
  <si>
    <t>2024-04-16</t>
  </si>
  <si>
    <t>C038</t>
  </si>
  <si>
    <t>2023-04-26</t>
  </si>
  <si>
    <t>2024-11-18</t>
  </si>
  <si>
    <t>C039</t>
  </si>
  <si>
    <t>2022-01-19</t>
  </si>
  <si>
    <t>C040</t>
  </si>
  <si>
    <t>2022-02-13</t>
  </si>
  <si>
    <t>2024-09-26</t>
  </si>
  <si>
    <t>C041</t>
  </si>
  <si>
    <t>C042</t>
  </si>
  <si>
    <t>2023-05-19</t>
  </si>
  <si>
    <t>2024-12-31</t>
  </si>
  <si>
    <t>C043</t>
  </si>
  <si>
    <t>2022-11-05</t>
  </si>
  <si>
    <t>2024-04-30</t>
  </si>
  <si>
    <t>C044</t>
  </si>
  <si>
    <t>2023-05-08</t>
  </si>
  <si>
    <t>2024-05-02</t>
  </si>
  <si>
    <t>C045</t>
  </si>
  <si>
    <t>2023-04-18</t>
  </si>
  <si>
    <t>2024-11-26</t>
  </si>
  <si>
    <t>C046</t>
  </si>
  <si>
    <t>2022-04-24</t>
  </si>
  <si>
    <t>2024-12-12</t>
  </si>
  <si>
    <t>C047</t>
  </si>
  <si>
    <t>2022-12-28</t>
  </si>
  <si>
    <t>2024-03-31</t>
  </si>
  <si>
    <t>C048</t>
  </si>
  <si>
    <t>2023-07-28</t>
  </si>
  <si>
    <t>2024-10-13</t>
  </si>
  <si>
    <t>C049</t>
  </si>
  <si>
    <t>2023-02-15</t>
  </si>
  <si>
    <t>2024-03-26</t>
  </si>
  <si>
    <t>C050</t>
  </si>
  <si>
    <t>2022-06-27</t>
  </si>
  <si>
    <t>2024-12-25</t>
  </si>
  <si>
    <t>C051</t>
  </si>
  <si>
    <t>2022-04-03</t>
  </si>
  <si>
    <t>2024-04-03</t>
  </si>
  <si>
    <t>C052</t>
  </si>
  <si>
    <t>2022-07-12</t>
  </si>
  <si>
    <t>2024-10-20</t>
  </si>
  <si>
    <t>C053</t>
  </si>
  <si>
    <t>2023-03-27</t>
  </si>
  <si>
    <t>2024-10-28</t>
  </si>
  <si>
    <t>C054</t>
  </si>
  <si>
    <t>2023-11-18</t>
  </si>
  <si>
    <t>2024-11-01</t>
  </si>
  <si>
    <t>C055</t>
  </si>
  <si>
    <t>2022-08-20</t>
  </si>
  <si>
    <t>2024-07-04</t>
  </si>
  <si>
    <t>C056</t>
  </si>
  <si>
    <t>2022-04-27</t>
  </si>
  <si>
    <t>2024-11-07</t>
  </si>
  <si>
    <t>C057</t>
  </si>
  <si>
    <t>2023-11-11</t>
  </si>
  <si>
    <t>2024-03-29</t>
  </si>
  <si>
    <t>C058</t>
  </si>
  <si>
    <t>2024-03-05</t>
  </si>
  <si>
    <t>C059</t>
  </si>
  <si>
    <t>2024-05-30</t>
  </si>
  <si>
    <t>C060</t>
  </si>
  <si>
    <t>2022-12-19</t>
  </si>
  <si>
    <t>2024-08-23</t>
  </si>
  <si>
    <t>C061</t>
  </si>
  <si>
    <t>2023-07-09</t>
  </si>
  <si>
    <t>2024-03-08</t>
  </si>
  <si>
    <t>C062</t>
  </si>
  <si>
    <t>2023-03-15</t>
  </si>
  <si>
    <t>2024-04-21</t>
  </si>
  <si>
    <t>C063</t>
  </si>
  <si>
    <t>2023-06-10</t>
  </si>
  <si>
    <t>2024-07-27</t>
  </si>
  <si>
    <t>C064</t>
  </si>
  <si>
    <t>2022-05-14</t>
  </si>
  <si>
    <t>2024-04-02</t>
  </si>
  <si>
    <t>C065</t>
  </si>
  <si>
    <t>2022-03-28</t>
  </si>
  <si>
    <t>2024-01-27</t>
  </si>
  <si>
    <t>C066</t>
  </si>
  <si>
    <t>2022-03-11</t>
  </si>
  <si>
    <t>2024-02-07</t>
  </si>
  <si>
    <t>C067</t>
  </si>
  <si>
    <t>2024-07-02</t>
  </si>
  <si>
    <t>C068</t>
  </si>
  <si>
    <t>2022-04-08</t>
  </si>
  <si>
    <t>C069</t>
  </si>
  <si>
    <t>2023-10-28</t>
  </si>
  <si>
    <t>2024-12-01</t>
  </si>
  <si>
    <t>C070</t>
  </si>
  <si>
    <t>2022-10-18</t>
  </si>
  <si>
    <t>2024-11-29</t>
  </si>
  <si>
    <t>C071</t>
  </si>
  <si>
    <t>2023-11-22</t>
  </si>
  <si>
    <t>2024-09-17</t>
  </si>
  <si>
    <t>C072</t>
  </si>
  <si>
    <t>2023-04-29</t>
  </si>
  <si>
    <t>C073</t>
  </si>
  <si>
    <t>2023-09-03</t>
  </si>
  <si>
    <t>2024-02-23</t>
  </si>
  <si>
    <t>C074</t>
  </si>
  <si>
    <t>2022-01-25</t>
  </si>
  <si>
    <t>C075</t>
  </si>
  <si>
    <t>2023-11-10</t>
  </si>
  <si>
    <t>2024-03-15</t>
  </si>
  <si>
    <t>C076</t>
  </si>
  <si>
    <t>2023-03-22</t>
  </si>
  <si>
    <t>2024-11-11</t>
  </si>
  <si>
    <t>C077</t>
  </si>
  <si>
    <t>2023-09-12</t>
  </si>
  <si>
    <t>2024-12-04</t>
  </si>
  <si>
    <t>C078</t>
  </si>
  <si>
    <t>2023-11-15</t>
  </si>
  <si>
    <t>2024-11-20</t>
  </si>
  <si>
    <t>C079</t>
  </si>
  <si>
    <t>2022-08-18</t>
  </si>
  <si>
    <t>2024-09-08</t>
  </si>
  <si>
    <t>C080</t>
  </si>
  <si>
    <t>2022-12-08</t>
  </si>
  <si>
    <t>2024-11-12</t>
  </si>
  <si>
    <t>C081</t>
  </si>
  <si>
    <t>2022-03-10</t>
  </si>
  <si>
    <t>2024-02-02</t>
  </si>
  <si>
    <t>C082</t>
  </si>
  <si>
    <t>2023-11-06</t>
  </si>
  <si>
    <t>2024-06-23</t>
  </si>
  <si>
    <t>C083</t>
  </si>
  <si>
    <t>2023-04-01</t>
  </si>
  <si>
    <t>2024-02-24</t>
  </si>
  <si>
    <t>C084</t>
  </si>
  <si>
    <t>2022-11-17</t>
  </si>
  <si>
    <t>2024-05-11</t>
  </si>
  <si>
    <t>C085</t>
  </si>
  <si>
    <t>2023-08-03</t>
  </si>
  <si>
    <t>2024-06-14</t>
  </si>
  <si>
    <t>C086</t>
  </si>
  <si>
    <t>2022-11-30</t>
  </si>
  <si>
    <t>2024-12-17</t>
  </si>
  <si>
    <t>C087</t>
  </si>
  <si>
    <t>2023-04-14</t>
  </si>
  <si>
    <t>2024-06-06</t>
  </si>
  <si>
    <t>C088</t>
  </si>
  <si>
    <t>2023-04-19</t>
  </si>
  <si>
    <t>2024-03-19</t>
  </si>
  <si>
    <t>C089</t>
  </si>
  <si>
    <t>2023-06-06</t>
  </si>
  <si>
    <t>2024-09-19</t>
  </si>
  <si>
    <t>C090</t>
  </si>
  <si>
    <t>2022-04-05</t>
  </si>
  <si>
    <t>2024-04-27</t>
  </si>
  <si>
    <t>C091</t>
  </si>
  <si>
    <t>2023-04-25</t>
  </si>
  <si>
    <t>2024-05-20</t>
  </si>
  <si>
    <t>C092</t>
  </si>
  <si>
    <t>2022-01-13</t>
  </si>
  <si>
    <t>2024-03-10</t>
  </si>
  <si>
    <t>C093</t>
  </si>
  <si>
    <t>2023-10-12</t>
  </si>
  <si>
    <t>2024-02-04</t>
  </si>
  <si>
    <t>C094</t>
  </si>
  <si>
    <t>2023-06-17</t>
  </si>
  <si>
    <t>2024-01-11</t>
  </si>
  <si>
    <t>C095</t>
  </si>
  <si>
    <t>2022-09-01</t>
  </si>
  <si>
    <t>2024-12-05</t>
  </si>
  <si>
    <t>C096</t>
  </si>
  <si>
    <t>2022-06-17</t>
  </si>
  <si>
    <t>2024-06-11</t>
  </si>
  <si>
    <t>C097</t>
  </si>
  <si>
    <t>2022-09-25</t>
  </si>
  <si>
    <t>C098</t>
  </si>
  <si>
    <t>C099</t>
  </si>
  <si>
    <t>2022-02-08</t>
  </si>
  <si>
    <t>C100</t>
  </si>
  <si>
    <t>2022-03-24</t>
  </si>
  <si>
    <t>2024-09-15</t>
  </si>
  <si>
    <t>C101</t>
  </si>
  <si>
    <t>2023-09-23</t>
  </si>
  <si>
    <t>2024-06-21</t>
  </si>
  <si>
    <t>C102</t>
  </si>
  <si>
    <t>2022-07-17</t>
  </si>
  <si>
    <t>C103</t>
  </si>
  <si>
    <t>2023-10-09</t>
  </si>
  <si>
    <t>2024-02-29</t>
  </si>
  <si>
    <t>C104</t>
  </si>
  <si>
    <t>2023-10-20</t>
  </si>
  <si>
    <t>2024-10-24</t>
  </si>
  <si>
    <t>C105</t>
  </si>
  <si>
    <t>2023-01-11</t>
  </si>
  <si>
    <t>2024-04-09</t>
  </si>
  <si>
    <t>C106</t>
  </si>
  <si>
    <t>2022-05-24</t>
  </si>
  <si>
    <t>C107</t>
  </si>
  <si>
    <t>2023-01-13</t>
  </si>
  <si>
    <t>2024-05-03</t>
  </si>
  <si>
    <t>C108</t>
  </si>
  <si>
    <t>C109</t>
  </si>
  <si>
    <t>2023-04-08</t>
  </si>
  <si>
    <t>C110</t>
  </si>
  <si>
    <t>2024-05-15</t>
  </si>
  <si>
    <t>C111</t>
  </si>
  <si>
    <t>2023-08-30</t>
  </si>
  <si>
    <t>2024-04-23</t>
  </si>
  <si>
    <t>C112</t>
  </si>
  <si>
    <t>2023-11-24</t>
  </si>
  <si>
    <t>C113</t>
  </si>
  <si>
    <t>2023-07-04</t>
  </si>
  <si>
    <t>C114</t>
  </si>
  <si>
    <t>2023-09-29</t>
  </si>
  <si>
    <t>2024-06-17</t>
  </si>
  <si>
    <t>C115</t>
  </si>
  <si>
    <t>2023-08-18</t>
  </si>
  <si>
    <t>2024-08-06</t>
  </si>
  <si>
    <t>C116</t>
  </si>
  <si>
    <t>2024-12-13</t>
  </si>
  <si>
    <t>C117</t>
  </si>
  <si>
    <t>2022-06-29</t>
  </si>
  <si>
    <t>C118</t>
  </si>
  <si>
    <t>2023-06-12</t>
  </si>
  <si>
    <t>C119</t>
  </si>
  <si>
    <t>2023-05-11</t>
  </si>
  <si>
    <t>2024-04-14</t>
  </si>
  <si>
    <t>C120</t>
  </si>
  <si>
    <t>2024-11-17</t>
  </si>
  <si>
    <t>C121</t>
  </si>
  <si>
    <t>2022-04-26</t>
  </si>
  <si>
    <t>2024-09-30</t>
  </si>
  <si>
    <t>C122</t>
  </si>
  <si>
    <t>2022-09-04</t>
  </si>
  <si>
    <t>2024-07-31</t>
  </si>
  <si>
    <t>C123</t>
  </si>
  <si>
    <t>2024-06-28</t>
  </si>
  <si>
    <t>C124</t>
  </si>
  <si>
    <t>2023-08-27</t>
  </si>
  <si>
    <t>C125</t>
  </si>
  <si>
    <t>2023-11-17</t>
  </si>
  <si>
    <t>2024-02-11</t>
  </si>
  <si>
    <t>C126</t>
  </si>
  <si>
    <t>2022-03-27</t>
  </si>
  <si>
    <t>C127</t>
  </si>
  <si>
    <t>2022-05-12</t>
  </si>
  <si>
    <t>2024-10-15</t>
  </si>
  <si>
    <t>C128</t>
  </si>
  <si>
    <t>2024-01-28</t>
  </si>
  <si>
    <t>C129</t>
  </si>
  <si>
    <t>2022-12-07</t>
  </si>
  <si>
    <t>2024-08-04</t>
  </si>
  <si>
    <t>C130</t>
  </si>
  <si>
    <t>2023-08-25</t>
  </si>
  <si>
    <t>2024-04-20</t>
  </si>
  <si>
    <t>C131</t>
  </si>
  <si>
    <t>2022-09-12</t>
  </si>
  <si>
    <t>2024-11-30</t>
  </si>
  <si>
    <t>C132</t>
  </si>
  <si>
    <t>2023-02-27</t>
  </si>
  <si>
    <t>2024-02-15</t>
  </si>
  <si>
    <t>C133</t>
  </si>
  <si>
    <t>2024-09-18</t>
  </si>
  <si>
    <t>C134</t>
  </si>
  <si>
    <t>2023-04-06</t>
  </si>
  <si>
    <t>2024-09-12</t>
  </si>
  <si>
    <t>C135</t>
  </si>
  <si>
    <t>2023-02-23</t>
  </si>
  <si>
    <t>2024-01-02</t>
  </si>
  <si>
    <t>C136</t>
  </si>
  <si>
    <t>2022-11-11</t>
  </si>
  <si>
    <t>C137</t>
  </si>
  <si>
    <t>2022-06-01</t>
  </si>
  <si>
    <t>2024-03-12</t>
  </si>
  <si>
    <t>C138</t>
  </si>
  <si>
    <t>2022-03-04</t>
  </si>
  <si>
    <t>2024-01-15</t>
  </si>
  <si>
    <t>C139</t>
  </si>
  <si>
    <t>2022-11-29</t>
  </si>
  <si>
    <t>2024-12-20</t>
  </si>
  <si>
    <t>C140</t>
  </si>
  <si>
    <t>2022-05-20</t>
  </si>
  <si>
    <t>2024-04-07</t>
  </si>
  <si>
    <t>C141</t>
  </si>
  <si>
    <t>2023-07-27</t>
  </si>
  <si>
    <t>2024-10-08</t>
  </si>
  <si>
    <t>C142</t>
  </si>
  <si>
    <t>2023-07-16</t>
  </si>
  <si>
    <t>2024-02-09</t>
  </si>
  <si>
    <t>C143</t>
  </si>
  <si>
    <t>2024-12-21</t>
  </si>
  <si>
    <t>C144</t>
  </si>
  <si>
    <t>2023-06-27</t>
  </si>
  <si>
    <t>2024-07-05</t>
  </si>
  <si>
    <t>C145</t>
  </si>
  <si>
    <t>2022-09-30</t>
  </si>
  <si>
    <t>2024-12-26</t>
  </si>
  <si>
    <t>C146</t>
  </si>
  <si>
    <t>2022-05-01</t>
  </si>
  <si>
    <t>C147</t>
  </si>
  <si>
    <t>2022-04-04</t>
  </si>
  <si>
    <t>2024-09-20</t>
  </si>
  <si>
    <t>C148</t>
  </si>
  <si>
    <t>2023-10-22</t>
  </si>
  <si>
    <t>2024-05-16</t>
  </si>
  <si>
    <t>C149</t>
  </si>
  <si>
    <t>2022-10-02</t>
  </si>
  <si>
    <t>C150</t>
  </si>
  <si>
    <t>2022-04-30</t>
  </si>
  <si>
    <t>2024-12-27</t>
  </si>
  <si>
    <t>Sum of Purchase_Amount</t>
  </si>
  <si>
    <t>Row Labels</t>
  </si>
  <si>
    <t>Grand Total</t>
  </si>
  <si>
    <t>Count of Customer_ID</t>
  </si>
  <si>
    <t>Average of Satisfaction_Score</t>
  </si>
  <si>
    <t>Category</t>
  </si>
  <si>
    <t>Total Amount</t>
  </si>
  <si>
    <t>Cities</t>
  </si>
  <si>
    <t>Total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</si>
</sst>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1"/>
      <color theme="0"/>
      <name val="Calibri"/>
      <family val="2"/>
      <scheme val="minor"/>
    </font>
    <font>
      <sz val="11"/>
      <color theme="1"/>
      <name val="Aptos Narrow"/>
    </font>
    <font>
      <b/>
      <sz val="11"/>
      <color theme="0"/>
      <name val="Aptos Narrow"/>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2" borderId="0" xfId="0" applyFill="1"/>
    <xf numFmtId="2" fontId="0" fillId="0" borderId="0" xfId="0" applyNumberFormat="1"/>
    <xf numFmtId="2" fontId="0" fillId="2" borderId="0" xfId="0" applyNumberFormat="1" applyFill="1"/>
    <xf numFmtId="0" fontId="1" fillId="0" borderId="0" xfId="0" applyFont="1" applyAlignment="1">
      <alignment horizontal="left"/>
    </xf>
    <xf numFmtId="0" fontId="2" fillId="0" borderId="0" xfId="0" applyFont="1"/>
    <xf numFmtId="0" fontId="2" fillId="0" borderId="0" xfId="0" applyFont="1" applyAlignment="1">
      <alignment horizontal="left"/>
    </xf>
    <xf numFmtId="0" fontId="2" fillId="0" borderId="0" xfId="0" pivotButton="1" applyFont="1"/>
    <xf numFmtId="1" fontId="2" fillId="0" borderId="0" xfId="0" applyNumberFormat="1" applyFont="1"/>
    <xf numFmtId="0" fontId="0" fillId="0" borderId="0" xfId="0" applyNumberFormat="1"/>
    <xf numFmtId="0" fontId="2" fillId="0" borderId="0" xfId="0" applyFont="1" applyFill="1"/>
    <xf numFmtId="0" fontId="2" fillId="0" borderId="0" xfId="0" applyFont="1" applyFill="1" applyAlignment="1">
      <alignment horizontal="left"/>
    </xf>
    <xf numFmtId="0" fontId="2" fillId="0" borderId="0" xfId="0" applyNumberFormat="1" applyFont="1" applyFill="1"/>
    <xf numFmtId="0" fontId="3" fillId="0" borderId="0" xfId="0" applyFont="1" applyFill="1" applyAlignment="1">
      <alignment horizontal="left"/>
    </xf>
    <xf numFmtId="0" fontId="3" fillId="0" borderId="0" xfId="0" applyNumberFormat="1" applyFont="1" applyFill="1"/>
    <xf numFmtId="0" fontId="1" fillId="0" borderId="0" xfId="0" applyNumberFormat="1" applyFont="1"/>
  </cellXfs>
  <cellStyles count="1">
    <cellStyle name="Normal" xfId="0" builtinId="0"/>
  </cellStyles>
  <dxfs count="106">
    <dxf>
      <numFmt numFmtId="2" formatCode="0.00"/>
    </dxf>
    <dxf>
      <numFmt numFmtId="1" formatCode="0"/>
    </dxf>
    <dxf>
      <font>
        <name val="Aptos Narrow"/>
        <scheme val="none"/>
      </font>
    </dxf>
    <dxf>
      <font>
        <color theme="0"/>
      </font>
    </dxf>
    <dxf>
      <font>
        <name val="Aptos Narrow"/>
        <scheme val="none"/>
      </font>
    </dxf>
    <dxf>
      <font>
        <name val="Aptos Narrow"/>
        <scheme val="none"/>
      </font>
    </dxf>
    <dxf>
      <font>
        <name val="Aptos Narrow"/>
        <scheme val="none"/>
      </font>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ont>
        <color theme="0"/>
      </font>
    </dxf>
    <dxf>
      <font>
        <color theme="0"/>
      </font>
    </dxf>
    <dxf>
      <font>
        <b/>
      </font>
    </dxf>
    <dxf>
      <font>
        <b/>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numFmt numFmtId="2" formatCode="0.00"/>
    </dxf>
    <dxf>
      <numFmt numFmtId="1" formatCode="0"/>
    </dxf>
    <dxf>
      <font>
        <name val="Aptos Narrow"/>
        <scheme val="none"/>
      </font>
    </dxf>
    <dxf>
      <font>
        <color theme="0"/>
      </font>
    </dxf>
    <dxf>
      <font>
        <name val="Aptos Narrow"/>
        <scheme val="none"/>
      </font>
    </dxf>
    <dxf>
      <font>
        <name val="Aptos Narrow"/>
        <scheme val="none"/>
      </font>
    </dxf>
    <dxf>
      <font>
        <name val="Aptos Narrow"/>
        <scheme val="none"/>
      </font>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ont>
        <color theme="0"/>
      </font>
    </dxf>
    <dxf>
      <font>
        <color theme="0"/>
      </font>
    </dxf>
    <dxf>
      <font>
        <b/>
      </font>
    </dxf>
    <dxf>
      <font>
        <b/>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name val="Aptos Narrow"/>
        <scheme val="none"/>
      </font>
    </dxf>
    <dxf>
      <font>
        <name val="Aptos Narrow"/>
        <scheme val="none"/>
      </font>
    </dxf>
    <dxf>
      <font>
        <name val="Aptos Narrow"/>
        <scheme val="none"/>
      </font>
    </dxf>
    <dxf>
      <font>
        <color theme="0"/>
      </font>
    </dxf>
    <dxf>
      <font>
        <name val="Aptos Narrow"/>
        <scheme val="none"/>
      </font>
    </dxf>
    <dxf>
      <numFmt numFmtId="1" formatCode="0"/>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b/>
      </font>
    </dxf>
    <dxf>
      <font>
        <b/>
      </font>
    </dxf>
    <dxf>
      <font>
        <color theme="0"/>
      </font>
    </dxf>
    <dxf>
      <font>
        <color theme="0"/>
      </font>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ont>
        <b/>
        <i val="0"/>
        <name val="Aptos Narrow"/>
        <family val="2"/>
        <scheme val="none"/>
      </font>
      <fill>
        <patternFill>
          <bgColor theme="6" tint="0.39994506668294322"/>
        </patternFill>
      </fill>
      <border diagonalUp="0" diagonalDown="0">
        <left style="thin">
          <color auto="1"/>
        </left>
        <right style="thin">
          <color auto="1"/>
        </right>
        <top style="thin">
          <color auto="1"/>
        </top>
        <bottom style="thin">
          <color auto="1"/>
        </bottom>
        <vertical/>
        <horizontal/>
      </border>
    </dxf>
  </dxfs>
  <tableStyles count="1" defaultTableStyle="TableStyleMedium9" defaultPivotStyle="PivotStyleLight16">
    <tableStyle name="Green Slicer Template" pivot="0" table="0" count="3" xr9:uid="{5D3980E7-1A77-4FFB-B685-72751098FD1A}">
      <tableStyleElement type="wholeTable" dxfId="105"/>
    </tableStyle>
  </tableStyles>
  <extLst>
    <ext xmlns:x14="http://schemas.microsoft.com/office/spreadsheetml/2009/9/main" uri="{46F421CA-312F-682f-3DD2-61675219B42D}">
      <x14:dxfs count="2">
        <dxf>
          <font>
            <color theme="0"/>
          </font>
          <fill>
            <patternFill>
              <bgColor theme="6" tint="-0.499984740745262"/>
            </patternFill>
          </fill>
        </dxf>
        <dxf>
          <font>
            <color theme="0"/>
          </font>
          <fill>
            <patternFill>
              <bgColor theme="6" tint="-0.24994659260841701"/>
            </patternFill>
          </fill>
        </dxf>
      </x14:dxfs>
    </ext>
    <ext xmlns:x14="http://schemas.microsoft.com/office/spreadsheetml/2009/9/main" uri="{EB79DEF2-80B8-43e5-95BD-54CBDDF9020C}">
      <x14:slicerStyles defaultSlicerStyle="SlicerStyleLight1">
        <x14:slicerStyle name="Green Slicer Template">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[Customer_Behavior_Analysis.xlsx]Povit!PivotTable4</c:name>
    <c:fmtId val="0"/>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w="19050">
            <a:solidFill>
              <a:schemeClr val="lt1"/>
            </a:solidFill>
          </a:ln>
          <a:effectLst/>
        </c:spPr>
      </c:pivotFmt>
      <c:pivotFmt>
        <c:idx val="2"/>
        <c:spPr>
          <a:solidFill>
            <a:schemeClr val="accent3"/>
          </a:solidFill>
          <a:ln w="19050">
            <a:solidFill>
              <a:schemeClr val="lt1"/>
            </a:solidFill>
          </a:ln>
          <a:effectLst/>
        </c:spPr>
      </c:pivotFmt>
      <c:pivotFmt>
        <c:idx val="3"/>
        <c:spPr>
          <a:solidFill>
            <a:schemeClr val="accent3">
              <a:tint val="65000"/>
            </a:schemeClr>
          </a:solidFill>
          <a:ln w="19050">
            <a:solidFill>
              <a:schemeClr val="lt1"/>
            </a:solidFill>
          </a:ln>
          <a:effectLst/>
        </c:spPr>
      </c:pivotFmt>
    </c:pivotFmts>
    <c:plotArea>
      <c:layout/>
      <c:pieChart>
        <c:varyColors val="1"/>
        <c:ser>
          <c:idx val="0"/>
          <c:order val="0"/>
          <c:tx>
            <c:strRef>
              <c:f>Povit!$E$3</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39EB-457F-9C9E-679ECE1537B6}"/>
              </c:ext>
            </c:extLst>
          </c:dPt>
          <c:dPt>
            <c:idx val="1"/>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3-39EB-457F-9C9E-679ECE1537B6}"/>
              </c:ext>
            </c:extLst>
          </c:dPt>
          <c:dPt>
            <c:idx val="2"/>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5-39EB-457F-9C9E-679ECE1537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Povit!$D$4:$D$6</c:f>
              <c:strCache>
                <c:ptCount val="2"/>
                <c:pt idx="0">
                  <c:v>Karachi</c:v>
                </c:pt>
                <c:pt idx="1">
                  <c:v>Faisalabad</c:v>
                </c:pt>
              </c:strCache>
            </c:strRef>
          </c:cat>
          <c:val>
            <c:numRef>
              <c:f>Povit!$E$4:$E$6</c:f>
              <c:numCache>
                <c:formatCode>0</c:formatCode>
                <c:ptCount val="2"/>
                <c:pt idx="0">
                  <c:v>367050.37999999995</c:v>
                </c:pt>
                <c:pt idx="1">
                  <c:v>303878.54000000004</c:v>
                </c:pt>
              </c:numCache>
            </c:numRef>
          </c:val>
          <c:extLst>
            <c:ext xmlns:c16="http://schemas.microsoft.com/office/drawing/2014/chart" uri="{C3380CC4-5D6E-409C-BE32-E72D297353CC}">
              <c16:uniqueId val="{00000000-CBAC-44F1-A8DC-D0F39C89C6D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[Customer_Behavior_Analysis.xlsx]Povit!PivotTable2</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Povit!$G$49</c:f>
              <c:strCache>
                <c:ptCount val="1"/>
                <c:pt idx="0">
                  <c:v>Total</c:v>
                </c:pt>
              </c:strCache>
            </c:strRef>
          </c:tx>
          <c:spPr>
            <a:solidFill>
              <a:schemeClr val="accent6"/>
            </a:solidFill>
            <a:ln>
              <a:noFill/>
            </a:ln>
            <a:effectLst/>
          </c:spPr>
          <c:invertIfNegative val="0"/>
          <c:trendline>
            <c:spPr>
              <a:ln w="19050" cap="rnd">
                <a:solidFill>
                  <a:schemeClr val="accent6"/>
                </a:solidFill>
                <a:prstDash val="sysDot"/>
              </a:ln>
              <a:effectLst/>
            </c:spPr>
            <c:trendlineType val="movingAvg"/>
            <c:period val="2"/>
            <c:dispRSqr val="0"/>
            <c:dispEq val="0"/>
          </c:trendline>
          <c:cat>
            <c:strRef>
              <c:f>Povit!$F$50:$F$79</c:f>
              <c:strCache>
                <c:ptCount val="29"/>
                <c:pt idx="0">
                  <c:v>2024-01-11</c:v>
                </c:pt>
                <c:pt idx="1">
                  <c:v>2024-01-18</c:v>
                </c:pt>
                <c:pt idx="2">
                  <c:v>2024-02-07</c:v>
                </c:pt>
                <c:pt idx="3">
                  <c:v>2024-02-15</c:v>
                </c:pt>
                <c:pt idx="4">
                  <c:v>2024-03-01</c:v>
                </c:pt>
                <c:pt idx="5">
                  <c:v>2024-03-02</c:v>
                </c:pt>
                <c:pt idx="6">
                  <c:v>2024-03-08</c:v>
                </c:pt>
                <c:pt idx="7">
                  <c:v>2024-03-10</c:v>
                </c:pt>
                <c:pt idx="8">
                  <c:v>2024-04-21</c:v>
                </c:pt>
                <c:pt idx="9">
                  <c:v>2024-05-03</c:v>
                </c:pt>
                <c:pt idx="10">
                  <c:v>2024-05-15</c:v>
                </c:pt>
                <c:pt idx="11">
                  <c:v>2024-06-06</c:v>
                </c:pt>
                <c:pt idx="12">
                  <c:v>2024-06-11</c:v>
                </c:pt>
                <c:pt idx="13">
                  <c:v>2024-06-16</c:v>
                </c:pt>
                <c:pt idx="14">
                  <c:v>2024-07-31</c:v>
                </c:pt>
                <c:pt idx="15">
                  <c:v>2024-08-04</c:v>
                </c:pt>
                <c:pt idx="16">
                  <c:v>2024-08-05</c:v>
                </c:pt>
                <c:pt idx="17">
                  <c:v>2024-08-06</c:v>
                </c:pt>
                <c:pt idx="18">
                  <c:v>2024-08-17</c:v>
                </c:pt>
                <c:pt idx="19">
                  <c:v>2024-08-22</c:v>
                </c:pt>
                <c:pt idx="20">
                  <c:v>2024-09-12</c:v>
                </c:pt>
                <c:pt idx="21">
                  <c:v>2024-10-13</c:v>
                </c:pt>
                <c:pt idx="22">
                  <c:v>2024-11-07</c:v>
                </c:pt>
                <c:pt idx="23">
                  <c:v>2024-11-13</c:v>
                </c:pt>
                <c:pt idx="24">
                  <c:v>2024-11-21</c:v>
                </c:pt>
                <c:pt idx="25">
                  <c:v>2024-11-29</c:v>
                </c:pt>
                <c:pt idx="26">
                  <c:v>2024-12-05</c:v>
                </c:pt>
                <c:pt idx="27">
                  <c:v>2024-12-19</c:v>
                </c:pt>
                <c:pt idx="28">
                  <c:v>2024-12-26</c:v>
                </c:pt>
              </c:strCache>
            </c:strRef>
          </c:cat>
          <c:val>
            <c:numRef>
              <c:f>Povit!$G$50:$G$79</c:f>
              <c:numCache>
                <c:formatCode>General</c:formatCode>
                <c:ptCount val="29"/>
                <c:pt idx="0">
                  <c:v>1869.35</c:v>
                </c:pt>
                <c:pt idx="1">
                  <c:v>19428.91</c:v>
                </c:pt>
                <c:pt idx="2">
                  <c:v>16467.09</c:v>
                </c:pt>
                <c:pt idx="3">
                  <c:v>8725.23</c:v>
                </c:pt>
                <c:pt idx="4">
                  <c:v>72302.34</c:v>
                </c:pt>
                <c:pt idx="5">
                  <c:v>6370.04</c:v>
                </c:pt>
                <c:pt idx="6">
                  <c:v>7726.15</c:v>
                </c:pt>
                <c:pt idx="7">
                  <c:v>7917.99</c:v>
                </c:pt>
                <c:pt idx="8">
                  <c:v>26149.27</c:v>
                </c:pt>
                <c:pt idx="9">
                  <c:v>8323.57</c:v>
                </c:pt>
                <c:pt idx="10">
                  <c:v>5568.79</c:v>
                </c:pt>
                <c:pt idx="11">
                  <c:v>9305.7199999999993</c:v>
                </c:pt>
                <c:pt idx="12">
                  <c:v>51538.559999999998</c:v>
                </c:pt>
                <c:pt idx="13">
                  <c:v>20789.54</c:v>
                </c:pt>
                <c:pt idx="14">
                  <c:v>40476.730000000003</c:v>
                </c:pt>
                <c:pt idx="15">
                  <c:v>14861.19</c:v>
                </c:pt>
                <c:pt idx="16">
                  <c:v>79852.47</c:v>
                </c:pt>
                <c:pt idx="17">
                  <c:v>51079.13</c:v>
                </c:pt>
                <c:pt idx="18">
                  <c:v>9585.5</c:v>
                </c:pt>
                <c:pt idx="19">
                  <c:v>26659.02</c:v>
                </c:pt>
                <c:pt idx="20">
                  <c:v>3703.96</c:v>
                </c:pt>
                <c:pt idx="21">
                  <c:v>3377.31</c:v>
                </c:pt>
                <c:pt idx="22">
                  <c:v>39945.199999999997</c:v>
                </c:pt>
                <c:pt idx="23">
                  <c:v>21165.15</c:v>
                </c:pt>
                <c:pt idx="24">
                  <c:v>51750.91</c:v>
                </c:pt>
                <c:pt idx="25">
                  <c:v>2209.8000000000002</c:v>
                </c:pt>
                <c:pt idx="26">
                  <c:v>13183.46</c:v>
                </c:pt>
                <c:pt idx="27">
                  <c:v>8666.18</c:v>
                </c:pt>
                <c:pt idx="28">
                  <c:v>41930.36</c:v>
                </c:pt>
              </c:numCache>
            </c:numRef>
          </c:val>
          <c:extLst>
            <c:ext xmlns:c16="http://schemas.microsoft.com/office/drawing/2014/chart" uri="{C3380CC4-5D6E-409C-BE32-E72D297353CC}">
              <c16:uniqueId val="{00000000-570F-45FA-8D9A-D8D5FDF03814}"/>
            </c:ext>
          </c:extLst>
        </c:ser>
        <c:dLbls>
          <c:showLegendKey val="0"/>
          <c:showVal val="0"/>
          <c:showCatName val="0"/>
          <c:showSerName val="0"/>
          <c:showPercent val="0"/>
          <c:showBubbleSize val="0"/>
        </c:dLbls>
        <c:gapWidth val="219"/>
        <c:overlap val="-27"/>
        <c:axId val="410817616"/>
        <c:axId val="410819776"/>
      </c:barChart>
      <c:catAx>
        <c:axId val="41081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819776"/>
        <c:crosses val="autoZero"/>
        <c:auto val="1"/>
        <c:lblAlgn val="ctr"/>
        <c:lblOffset val="100"/>
        <c:noMultiLvlLbl val="0"/>
      </c:catAx>
      <c:valAx>
        <c:axId val="41081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81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[Customer_Behavior_Analysis.xlsx]Povit!PivotTable10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Povit!$N$2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CDA-4631-8864-AFBF5E8745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CDA-4631-8864-AFBF5E8745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CCDA-4631-8864-AFBF5E8745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CCDA-4631-8864-AFBF5E8745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CCDA-4631-8864-AFBF5E8745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D-CCDA-4631-8864-AFBF5E8745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Povit!$M$3:$M$6</c:f>
              <c:strCache>
                <c:ptCount val="3"/>
                <c:pt idx="0">
                  <c:v>Electronics</c:v>
                </c:pt>
                <c:pt idx="1">
                  <c:v>Grocery</c:v>
                </c:pt>
                <c:pt idx="2">
                  <c:v>Sports</c:v>
                </c:pt>
              </c:strCache>
            </c:strRef>
          </c:cat>
          <c:val>
            <c:numRef>
              <c:f>Povit!$N$3:$N$6</c:f>
              <c:numCache>
                <c:formatCode>General</c:formatCode>
                <c:ptCount val="3"/>
                <c:pt idx="0">
                  <c:v>428897.78</c:v>
                </c:pt>
                <c:pt idx="1">
                  <c:v>62744.58</c:v>
                </c:pt>
                <c:pt idx="2">
                  <c:v>179286.55999999997</c:v>
                </c:pt>
              </c:numCache>
            </c:numRef>
          </c:val>
          <c:extLst>
            <c:ext xmlns:c16="http://schemas.microsoft.com/office/drawing/2014/chart" uri="{C3380CC4-5D6E-409C-BE32-E72D297353CC}">
              <c16:uniqueId val="{00000000-F6E2-48B7-A3F3-637E2CA4044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[Customer_Behavior_Analysis.xlsx]Povit!PivotTable8</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noFill/>
          </a:ln>
          <a:effectLst/>
        </c:spPr>
      </c:pivotFmt>
      <c:pivotFmt>
        <c:idx val="17"/>
        <c:spPr>
          <a:solidFill>
            <a:schemeClr val="accent1"/>
          </a:solidFill>
          <a:ln w="19050">
            <a:noFill/>
          </a:ln>
          <a:effectLst/>
        </c:spPr>
      </c:pivotFmt>
    </c:pivotFmts>
    <c:plotArea>
      <c:layout/>
      <c:pieChart>
        <c:varyColors val="1"/>
        <c:ser>
          <c:idx val="0"/>
          <c:order val="0"/>
          <c:tx>
            <c:strRef>
              <c:f>Povit!$B$30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47A-4F0D-999E-447D4D68BCCB}"/>
              </c:ext>
            </c:extLst>
          </c:dPt>
          <c:dPt>
            <c:idx val="1"/>
            <c:bubble3D val="0"/>
            <c:spPr>
              <a:solidFill>
                <a:schemeClr val="accent2"/>
              </a:solidFill>
              <a:ln w="19050">
                <a:noFill/>
              </a:ln>
              <a:effectLst/>
            </c:spPr>
            <c:extLst>
              <c:ext xmlns:c16="http://schemas.microsoft.com/office/drawing/2014/chart" uri="{C3380CC4-5D6E-409C-BE32-E72D297353CC}">
                <c16:uniqueId val="{00000003-647A-4F0D-999E-447D4D68BCCB}"/>
              </c:ext>
            </c:extLst>
          </c:dPt>
          <c:dPt>
            <c:idx val="2"/>
            <c:bubble3D val="0"/>
            <c:spPr>
              <a:solidFill>
                <a:schemeClr val="accent3"/>
              </a:solidFill>
              <a:ln w="19050">
                <a:noFill/>
              </a:ln>
              <a:effectLst/>
            </c:spPr>
            <c:extLst>
              <c:ext xmlns:c16="http://schemas.microsoft.com/office/drawing/2014/chart" uri="{C3380CC4-5D6E-409C-BE32-E72D297353CC}">
                <c16:uniqueId val="{00000005-647A-4F0D-999E-447D4D68BCCB}"/>
              </c:ext>
            </c:extLst>
          </c:dPt>
          <c:dPt>
            <c:idx val="3"/>
            <c:bubble3D val="0"/>
            <c:spPr>
              <a:solidFill>
                <a:schemeClr val="accent4"/>
              </a:solidFill>
              <a:ln w="19050">
                <a:noFill/>
              </a:ln>
              <a:effectLst/>
            </c:spPr>
            <c:extLst>
              <c:ext xmlns:c16="http://schemas.microsoft.com/office/drawing/2014/chart" uri="{C3380CC4-5D6E-409C-BE32-E72D297353CC}">
                <c16:uniqueId val="{00000007-1341-4990-B33E-7F938CF8A27B}"/>
              </c:ext>
            </c:extLst>
          </c:dPt>
          <c:dPt>
            <c:idx val="4"/>
            <c:bubble3D val="0"/>
            <c:spPr>
              <a:solidFill>
                <a:schemeClr val="accent5"/>
              </a:solidFill>
              <a:ln w="19050">
                <a:noFill/>
              </a:ln>
              <a:effectLst/>
            </c:spPr>
            <c:extLst>
              <c:ext xmlns:c16="http://schemas.microsoft.com/office/drawing/2014/chart" uri="{C3380CC4-5D6E-409C-BE32-E72D297353CC}">
                <c16:uniqueId val="{00000009-1341-4990-B33E-7F938CF8A27B}"/>
              </c:ext>
            </c:extLst>
          </c:dPt>
          <c:dPt>
            <c:idx val="5"/>
            <c:bubble3D val="0"/>
            <c:spPr>
              <a:solidFill>
                <a:schemeClr val="accent6"/>
              </a:solidFill>
              <a:ln w="19050">
                <a:noFill/>
              </a:ln>
              <a:effectLst/>
            </c:spPr>
            <c:extLst>
              <c:ext xmlns:c16="http://schemas.microsoft.com/office/drawing/2014/chart" uri="{C3380CC4-5D6E-409C-BE32-E72D297353CC}">
                <c16:uniqueId val="{0000000B-1341-4990-B33E-7F938CF8A27B}"/>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Povit!$A$31:$A$33</c:f>
              <c:strCache>
                <c:ptCount val="2"/>
                <c:pt idx="0">
                  <c:v>Female</c:v>
                </c:pt>
                <c:pt idx="1">
                  <c:v>Male</c:v>
                </c:pt>
              </c:strCache>
            </c:strRef>
          </c:cat>
          <c:val>
            <c:numRef>
              <c:f>Povit!$B$31:$B$33</c:f>
              <c:numCache>
                <c:formatCode>General</c:formatCode>
                <c:ptCount val="2"/>
                <c:pt idx="0">
                  <c:v>15</c:v>
                </c:pt>
                <c:pt idx="1">
                  <c:v>16</c:v>
                </c:pt>
              </c:numCache>
            </c:numRef>
          </c:val>
          <c:extLst>
            <c:ext xmlns:c16="http://schemas.microsoft.com/office/drawing/2014/chart" uri="{C3380CC4-5D6E-409C-BE32-E72D297353CC}">
              <c16:uniqueId val="{00000006-647A-4F0D-999E-447D4D68BCCB}"/>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[Customer_Behavior_Analysis.xlsx]Povit!PivotTable9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s>
    <c:plotArea>
      <c:layout/>
      <c:pieChart>
        <c:varyColors val="1"/>
        <c:ser>
          <c:idx val="0"/>
          <c:order val="0"/>
          <c:tx>
            <c:strRef>
              <c:f>Povit!$F$12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47A-4F0D-999E-447D4D68BCCB}"/>
              </c:ext>
            </c:extLst>
          </c:dPt>
          <c:dPt>
            <c:idx val="1"/>
            <c:bubble3D val="0"/>
            <c:spPr>
              <a:solidFill>
                <a:schemeClr val="accent2"/>
              </a:solidFill>
              <a:ln w="19050">
                <a:noFill/>
              </a:ln>
              <a:effectLst/>
            </c:spPr>
            <c:extLst>
              <c:ext xmlns:c16="http://schemas.microsoft.com/office/drawing/2014/chart" uri="{C3380CC4-5D6E-409C-BE32-E72D297353CC}">
                <c16:uniqueId val="{00000003-647A-4F0D-999E-447D4D68BCCB}"/>
              </c:ext>
            </c:extLst>
          </c:dPt>
          <c:dPt>
            <c:idx val="2"/>
            <c:bubble3D val="0"/>
            <c:spPr>
              <a:solidFill>
                <a:schemeClr val="accent3"/>
              </a:solidFill>
              <a:ln w="19050">
                <a:noFill/>
              </a:ln>
              <a:effectLst/>
            </c:spPr>
            <c:extLst>
              <c:ext xmlns:c16="http://schemas.microsoft.com/office/drawing/2014/chart" uri="{C3380CC4-5D6E-409C-BE32-E72D297353CC}">
                <c16:uniqueId val="{00000005-647A-4F0D-999E-447D4D68BCCB}"/>
              </c:ext>
            </c:extLst>
          </c:dPt>
          <c:dPt>
            <c:idx val="3"/>
            <c:bubble3D val="0"/>
            <c:spPr>
              <a:solidFill>
                <a:schemeClr val="accent4"/>
              </a:solidFill>
              <a:ln w="19050">
                <a:noFill/>
              </a:ln>
              <a:effectLst/>
            </c:spPr>
            <c:extLst>
              <c:ext xmlns:c16="http://schemas.microsoft.com/office/drawing/2014/chart" uri="{C3380CC4-5D6E-409C-BE32-E72D297353CC}">
                <c16:uniqueId val="{00000007-1341-4990-B33E-7F938CF8A27B}"/>
              </c:ext>
            </c:extLst>
          </c:dPt>
          <c:dPt>
            <c:idx val="4"/>
            <c:bubble3D val="0"/>
            <c:spPr>
              <a:solidFill>
                <a:schemeClr val="accent5"/>
              </a:solidFill>
              <a:ln w="19050">
                <a:noFill/>
              </a:ln>
              <a:effectLst/>
            </c:spPr>
            <c:extLst>
              <c:ext xmlns:c16="http://schemas.microsoft.com/office/drawing/2014/chart" uri="{C3380CC4-5D6E-409C-BE32-E72D297353CC}">
                <c16:uniqueId val="{00000009-1341-4990-B33E-7F938CF8A27B}"/>
              </c:ext>
            </c:extLst>
          </c:dPt>
          <c:dPt>
            <c:idx val="5"/>
            <c:bubble3D val="0"/>
            <c:spPr>
              <a:solidFill>
                <a:schemeClr val="accent6"/>
              </a:solidFill>
              <a:ln w="19050">
                <a:noFill/>
              </a:ln>
              <a:effectLst/>
            </c:spPr>
            <c:extLst>
              <c:ext xmlns:c16="http://schemas.microsoft.com/office/drawing/2014/chart" uri="{C3380CC4-5D6E-409C-BE32-E72D297353CC}">
                <c16:uniqueId val="{0000000B-1341-4990-B33E-7F938CF8A27B}"/>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Povit!$E$13:$E$16</c:f>
              <c:strCache>
                <c:ptCount val="3"/>
                <c:pt idx="0">
                  <c:v>Electronics</c:v>
                </c:pt>
                <c:pt idx="1">
                  <c:v>Grocery</c:v>
                </c:pt>
                <c:pt idx="2">
                  <c:v>Sports</c:v>
                </c:pt>
              </c:strCache>
            </c:strRef>
          </c:cat>
          <c:val>
            <c:numRef>
              <c:f>Povit!$F$13:$F$16</c:f>
              <c:numCache>
                <c:formatCode>0.00</c:formatCode>
                <c:ptCount val="3"/>
                <c:pt idx="0">
                  <c:v>2.8888888888888888</c:v>
                </c:pt>
                <c:pt idx="1">
                  <c:v>2.6</c:v>
                </c:pt>
                <c:pt idx="2">
                  <c:v>2.75</c:v>
                </c:pt>
              </c:numCache>
            </c:numRef>
          </c:val>
          <c:extLst>
            <c:ext xmlns:c16="http://schemas.microsoft.com/office/drawing/2014/chart" uri="{C3380CC4-5D6E-409C-BE32-E72D297353CC}">
              <c16:uniqueId val="{00000006-647A-4F0D-999E-447D4D68BCCB}"/>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[Customer_Behavior_Analysis.xlsx]Povit!PivotTable1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s>
    <c:plotArea>
      <c:layout/>
      <c:pieChart>
        <c:varyColors val="1"/>
        <c:ser>
          <c:idx val="0"/>
          <c:order val="0"/>
          <c:tx>
            <c:strRef>
              <c:f>Povit!$B$3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47A-4F0D-999E-447D4D68BCCB}"/>
              </c:ext>
            </c:extLst>
          </c:dPt>
          <c:dPt>
            <c:idx val="1"/>
            <c:bubble3D val="0"/>
            <c:spPr>
              <a:solidFill>
                <a:schemeClr val="accent2"/>
              </a:solidFill>
              <a:ln w="19050">
                <a:noFill/>
              </a:ln>
              <a:effectLst/>
            </c:spPr>
            <c:extLst>
              <c:ext xmlns:c16="http://schemas.microsoft.com/office/drawing/2014/chart" uri="{C3380CC4-5D6E-409C-BE32-E72D297353CC}">
                <c16:uniqueId val="{00000003-647A-4F0D-999E-447D4D68BCCB}"/>
              </c:ext>
            </c:extLst>
          </c:dPt>
          <c:dPt>
            <c:idx val="2"/>
            <c:bubble3D val="0"/>
            <c:spPr>
              <a:solidFill>
                <a:schemeClr val="accent3"/>
              </a:solidFill>
              <a:ln w="19050">
                <a:noFill/>
              </a:ln>
              <a:effectLst/>
            </c:spPr>
            <c:extLst>
              <c:ext xmlns:c16="http://schemas.microsoft.com/office/drawing/2014/chart" uri="{C3380CC4-5D6E-409C-BE32-E72D297353CC}">
                <c16:uniqueId val="{00000005-647A-4F0D-999E-447D4D68BCCB}"/>
              </c:ext>
            </c:extLst>
          </c:dPt>
          <c:dPt>
            <c:idx val="3"/>
            <c:bubble3D val="0"/>
            <c:spPr>
              <a:solidFill>
                <a:schemeClr val="accent4"/>
              </a:solidFill>
              <a:ln w="19050">
                <a:noFill/>
              </a:ln>
              <a:effectLst/>
            </c:spPr>
            <c:extLst>
              <c:ext xmlns:c16="http://schemas.microsoft.com/office/drawing/2014/chart" uri="{C3380CC4-5D6E-409C-BE32-E72D297353CC}">
                <c16:uniqueId val="{00000007-1341-4990-B33E-7F938CF8A27B}"/>
              </c:ext>
            </c:extLst>
          </c:dPt>
          <c:dPt>
            <c:idx val="4"/>
            <c:bubble3D val="0"/>
            <c:spPr>
              <a:solidFill>
                <a:schemeClr val="accent5"/>
              </a:solidFill>
              <a:ln w="19050">
                <a:noFill/>
              </a:ln>
              <a:effectLst/>
            </c:spPr>
            <c:extLst>
              <c:ext xmlns:c16="http://schemas.microsoft.com/office/drawing/2014/chart" uri="{C3380CC4-5D6E-409C-BE32-E72D297353CC}">
                <c16:uniqueId val="{00000009-1341-4990-B33E-7F938CF8A27B}"/>
              </c:ext>
            </c:extLst>
          </c:dPt>
          <c:dPt>
            <c:idx val="5"/>
            <c:bubble3D val="0"/>
            <c:spPr>
              <a:solidFill>
                <a:schemeClr val="accent6"/>
              </a:solidFill>
              <a:ln w="19050">
                <a:noFill/>
              </a:ln>
              <a:effectLst/>
            </c:spPr>
            <c:extLst>
              <c:ext xmlns:c16="http://schemas.microsoft.com/office/drawing/2014/chart" uri="{C3380CC4-5D6E-409C-BE32-E72D297353CC}">
                <c16:uniqueId val="{0000000B-1341-4990-B33E-7F938CF8A27B}"/>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Povit!$A$4:$A$7</c:f>
              <c:strCache>
                <c:ptCount val="3"/>
                <c:pt idx="0">
                  <c:v>Electronics</c:v>
                </c:pt>
                <c:pt idx="1">
                  <c:v>Sports</c:v>
                </c:pt>
                <c:pt idx="2">
                  <c:v>Grocery</c:v>
                </c:pt>
              </c:strCache>
            </c:strRef>
          </c:cat>
          <c:val>
            <c:numRef>
              <c:f>Povit!$B$4:$B$7</c:f>
              <c:numCache>
                <c:formatCode>General</c:formatCode>
                <c:ptCount val="3"/>
                <c:pt idx="0">
                  <c:v>428897.78</c:v>
                </c:pt>
                <c:pt idx="1">
                  <c:v>179286.55999999997</c:v>
                </c:pt>
                <c:pt idx="2">
                  <c:v>62744.58</c:v>
                </c:pt>
              </c:numCache>
            </c:numRef>
          </c:val>
          <c:extLst>
            <c:ext xmlns:c16="http://schemas.microsoft.com/office/drawing/2014/chart" uri="{C3380CC4-5D6E-409C-BE32-E72D297353CC}">
              <c16:uniqueId val="{00000006-647A-4F0D-999E-447D4D68BCCB}"/>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[Customer_Behavior_Analysis.xlsx]Povit!PivotTable3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Povit!$K$3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E2-4D97-BBFF-76915F3718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E2-4D97-BBFF-76915F3718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7E56-4630-8154-6B6F875111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Povit!$J$4:$J$7</c:f>
              <c:strCache>
                <c:ptCount val="3"/>
                <c:pt idx="0">
                  <c:v>Card</c:v>
                </c:pt>
                <c:pt idx="1">
                  <c:v>Cash</c:v>
                </c:pt>
                <c:pt idx="2">
                  <c:v>Online</c:v>
                </c:pt>
              </c:strCache>
            </c:strRef>
          </c:cat>
          <c:val>
            <c:numRef>
              <c:f>Povit!$K$4:$K$7</c:f>
              <c:numCache>
                <c:formatCode>General</c:formatCode>
                <c:ptCount val="3"/>
                <c:pt idx="0">
                  <c:v>220170.55</c:v>
                </c:pt>
                <c:pt idx="1">
                  <c:v>201015.65999999997</c:v>
                </c:pt>
                <c:pt idx="2">
                  <c:v>249742.70999999996</c:v>
                </c:pt>
              </c:numCache>
            </c:numRef>
          </c:val>
          <c:extLst>
            <c:ext xmlns:c16="http://schemas.microsoft.com/office/drawing/2014/chart" uri="{C3380CC4-5D6E-409C-BE32-E72D297353CC}">
              <c16:uniqueId val="{00000000-7E56-4630-8154-6B6F87511179}"/>
            </c:ext>
          </c:extLst>
        </c:ser>
        <c:dLbls>
          <c:showLegendKey val="0"/>
          <c:showVal val="1"/>
          <c:showCatName val="0"/>
          <c:showSerName val="0"/>
          <c:showPercent val="0"/>
          <c:showBubbleSize val="0"/>
          <c:showLeaderLines val="1"/>
        </c:dLbls>
        <c:firstSliceAng val="123"/>
        <c:holeSize val="3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[Customer_Behavior_Analysis.xlsx]Povit!PivotTable1</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chemeClr val="accent1"/>
          </a:solidFill>
          <a:ln w="19050">
            <a:noFill/>
          </a:ln>
          <a:effectLst/>
        </c:spPr>
      </c:pivotFmt>
      <c:pivotFmt>
        <c:idx val="2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noFill/>
          </a:ln>
          <a:effectLst/>
        </c:spPr>
      </c:pivotFmt>
      <c:pivotFmt>
        <c:idx val="29"/>
        <c:spPr>
          <a:solidFill>
            <a:schemeClr val="accent1"/>
          </a:solidFill>
          <a:ln w="19050">
            <a:noFill/>
          </a:ln>
          <a:effectLst/>
        </c:spPr>
      </c:pivotFmt>
      <c:pivotFmt>
        <c:idx val="30"/>
        <c:spPr>
          <a:solidFill>
            <a:schemeClr val="accent1"/>
          </a:solidFill>
          <a:ln w="19050">
            <a:noFill/>
          </a:ln>
          <a:effectLst/>
        </c:spPr>
      </c:pivotFmt>
      <c:pivotFmt>
        <c:idx val="31"/>
        <c:spPr>
          <a:solidFill>
            <a:schemeClr val="accent1"/>
          </a:solidFill>
          <a:ln w="19050">
            <a:noFill/>
          </a:ln>
          <a:effectLst/>
        </c:spPr>
      </c:pivotFmt>
      <c:pivotFmt>
        <c:idx val="32"/>
        <c:spPr>
          <a:solidFill>
            <a:schemeClr val="accent1"/>
          </a:solidFill>
          <a:ln w="19050">
            <a:noFill/>
          </a:ln>
          <a:effectLst/>
        </c:spPr>
      </c:pivotFmt>
    </c:pivotFmts>
    <c:plotArea>
      <c:layout/>
      <c:pieChart>
        <c:varyColors val="1"/>
        <c:ser>
          <c:idx val="0"/>
          <c:order val="0"/>
          <c:tx>
            <c:strRef>
              <c:f>Povit!$B$3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CF9-4E28-A567-CB859EE4292E}"/>
              </c:ext>
            </c:extLst>
          </c:dPt>
          <c:dPt>
            <c:idx val="1"/>
            <c:bubble3D val="0"/>
            <c:spPr>
              <a:solidFill>
                <a:schemeClr val="accent2"/>
              </a:solidFill>
              <a:ln w="19050">
                <a:noFill/>
              </a:ln>
              <a:effectLst/>
            </c:spPr>
            <c:extLst>
              <c:ext xmlns:c16="http://schemas.microsoft.com/office/drawing/2014/chart" uri="{C3380CC4-5D6E-409C-BE32-E72D297353CC}">
                <c16:uniqueId val="{00000003-4CF9-4E28-A567-CB859EE4292E}"/>
              </c:ext>
            </c:extLst>
          </c:dPt>
          <c:dPt>
            <c:idx val="2"/>
            <c:bubble3D val="0"/>
            <c:spPr>
              <a:solidFill>
                <a:schemeClr val="accent3"/>
              </a:solidFill>
              <a:ln w="19050">
                <a:noFill/>
              </a:ln>
              <a:effectLst/>
            </c:spPr>
            <c:extLst>
              <c:ext xmlns:c16="http://schemas.microsoft.com/office/drawing/2014/chart" uri="{C3380CC4-5D6E-409C-BE32-E72D297353CC}">
                <c16:uniqueId val="{00000005-4CF9-4E28-A567-CB859EE4292E}"/>
              </c:ext>
            </c:extLst>
          </c:dPt>
          <c:dPt>
            <c:idx val="3"/>
            <c:bubble3D val="0"/>
            <c:spPr>
              <a:solidFill>
                <a:schemeClr val="accent4"/>
              </a:solidFill>
              <a:ln w="19050">
                <a:noFill/>
              </a:ln>
              <a:effectLst/>
            </c:spPr>
            <c:extLst>
              <c:ext xmlns:c16="http://schemas.microsoft.com/office/drawing/2014/chart" uri="{C3380CC4-5D6E-409C-BE32-E72D297353CC}">
                <c16:uniqueId val="{00000007-4CF9-4E28-A567-CB859EE4292E}"/>
              </c:ext>
            </c:extLst>
          </c:dPt>
          <c:dPt>
            <c:idx val="4"/>
            <c:bubble3D val="0"/>
            <c:spPr>
              <a:solidFill>
                <a:schemeClr val="accent5"/>
              </a:solidFill>
              <a:ln w="19050">
                <a:noFill/>
              </a:ln>
              <a:effectLst/>
            </c:spPr>
            <c:extLst>
              <c:ext xmlns:c16="http://schemas.microsoft.com/office/drawing/2014/chart" uri="{C3380CC4-5D6E-409C-BE32-E72D297353CC}">
                <c16:uniqueId val="{00000009-4CF9-4E28-A567-CB859EE4292E}"/>
              </c:ext>
            </c:extLst>
          </c:dPt>
          <c:dPt>
            <c:idx val="5"/>
            <c:bubble3D val="0"/>
            <c:spPr>
              <a:solidFill>
                <a:schemeClr val="accent6"/>
              </a:solidFill>
              <a:ln w="19050">
                <a:noFill/>
              </a:ln>
              <a:effectLst/>
            </c:spPr>
            <c:extLst>
              <c:ext xmlns:c16="http://schemas.microsoft.com/office/drawing/2014/chart" uri="{C3380CC4-5D6E-409C-BE32-E72D297353CC}">
                <c16:uniqueId val="{0000000B-4CF9-4E28-A567-CB859EE4292E}"/>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Povit!$A$4:$A$7</c:f>
              <c:strCache>
                <c:ptCount val="3"/>
                <c:pt idx="0">
                  <c:v>Electronics</c:v>
                </c:pt>
                <c:pt idx="1">
                  <c:v>Sports</c:v>
                </c:pt>
                <c:pt idx="2">
                  <c:v>Grocery</c:v>
                </c:pt>
              </c:strCache>
            </c:strRef>
          </c:cat>
          <c:val>
            <c:numRef>
              <c:f>Povit!$B$4:$B$7</c:f>
              <c:numCache>
                <c:formatCode>General</c:formatCode>
                <c:ptCount val="3"/>
                <c:pt idx="0">
                  <c:v>428897.78</c:v>
                </c:pt>
                <c:pt idx="1">
                  <c:v>179286.55999999997</c:v>
                </c:pt>
                <c:pt idx="2">
                  <c:v>62744.58</c:v>
                </c:pt>
              </c:numCache>
            </c:numRef>
          </c:val>
          <c:extLst>
            <c:ext xmlns:c16="http://schemas.microsoft.com/office/drawing/2014/chart" uri="{C3380CC4-5D6E-409C-BE32-E72D297353CC}">
              <c16:uniqueId val="{0000000C-4CF9-4E28-A567-CB859EE4292E}"/>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[Customer_Behavior_Analysis.xlsx]Povit!PivotTable8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noFill/>
          </a:ln>
          <a:effectLst/>
        </c:spPr>
      </c:pivotFmt>
      <c:pivotFmt>
        <c:idx val="23"/>
        <c:spPr>
          <a:solidFill>
            <a:schemeClr val="accent1"/>
          </a:solidFill>
          <a:ln w="19050">
            <a:noFill/>
          </a:ln>
          <a:effectLst/>
        </c:spPr>
      </c:pivotFmt>
    </c:pivotFmts>
    <c:plotArea>
      <c:layout/>
      <c:pieChart>
        <c:varyColors val="1"/>
        <c:ser>
          <c:idx val="0"/>
          <c:order val="0"/>
          <c:tx>
            <c:strRef>
              <c:f>Povit!$B$30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53C-44AC-B60B-EF622529ACEC}"/>
              </c:ext>
            </c:extLst>
          </c:dPt>
          <c:dPt>
            <c:idx val="1"/>
            <c:bubble3D val="0"/>
            <c:spPr>
              <a:solidFill>
                <a:schemeClr val="accent2"/>
              </a:solidFill>
              <a:ln w="19050">
                <a:noFill/>
              </a:ln>
              <a:effectLst/>
            </c:spPr>
            <c:extLst>
              <c:ext xmlns:c16="http://schemas.microsoft.com/office/drawing/2014/chart" uri="{C3380CC4-5D6E-409C-BE32-E72D297353CC}">
                <c16:uniqueId val="{00000003-953C-44AC-B60B-EF622529ACEC}"/>
              </c:ext>
            </c:extLst>
          </c:dPt>
          <c:dPt>
            <c:idx val="2"/>
            <c:bubble3D val="0"/>
            <c:spPr>
              <a:solidFill>
                <a:schemeClr val="accent3"/>
              </a:solidFill>
              <a:ln w="19050">
                <a:noFill/>
              </a:ln>
              <a:effectLst/>
            </c:spPr>
            <c:extLst>
              <c:ext xmlns:c16="http://schemas.microsoft.com/office/drawing/2014/chart" uri="{C3380CC4-5D6E-409C-BE32-E72D297353CC}">
                <c16:uniqueId val="{00000005-953C-44AC-B60B-EF622529ACEC}"/>
              </c:ext>
            </c:extLst>
          </c:dPt>
          <c:dPt>
            <c:idx val="3"/>
            <c:bubble3D val="0"/>
            <c:spPr>
              <a:solidFill>
                <a:schemeClr val="accent4"/>
              </a:solidFill>
              <a:ln w="19050">
                <a:noFill/>
              </a:ln>
              <a:effectLst/>
            </c:spPr>
            <c:extLst>
              <c:ext xmlns:c16="http://schemas.microsoft.com/office/drawing/2014/chart" uri="{C3380CC4-5D6E-409C-BE32-E72D297353CC}">
                <c16:uniqueId val="{00000007-953C-44AC-B60B-EF622529ACEC}"/>
              </c:ext>
            </c:extLst>
          </c:dPt>
          <c:dPt>
            <c:idx val="4"/>
            <c:bubble3D val="0"/>
            <c:spPr>
              <a:solidFill>
                <a:schemeClr val="accent5"/>
              </a:solidFill>
              <a:ln w="19050">
                <a:noFill/>
              </a:ln>
              <a:effectLst/>
            </c:spPr>
            <c:extLst>
              <c:ext xmlns:c16="http://schemas.microsoft.com/office/drawing/2014/chart" uri="{C3380CC4-5D6E-409C-BE32-E72D297353CC}">
                <c16:uniqueId val="{00000009-953C-44AC-B60B-EF622529ACEC}"/>
              </c:ext>
            </c:extLst>
          </c:dPt>
          <c:dPt>
            <c:idx val="5"/>
            <c:bubble3D val="0"/>
            <c:spPr>
              <a:solidFill>
                <a:schemeClr val="accent6"/>
              </a:solidFill>
              <a:ln w="19050">
                <a:noFill/>
              </a:ln>
              <a:effectLst/>
            </c:spPr>
            <c:extLst>
              <c:ext xmlns:c16="http://schemas.microsoft.com/office/drawing/2014/chart" uri="{C3380CC4-5D6E-409C-BE32-E72D297353CC}">
                <c16:uniqueId val="{0000000B-953C-44AC-B60B-EF622529ACEC}"/>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Povit!$A$31:$A$33</c:f>
              <c:strCache>
                <c:ptCount val="2"/>
                <c:pt idx="0">
                  <c:v>Female</c:v>
                </c:pt>
                <c:pt idx="1">
                  <c:v>Male</c:v>
                </c:pt>
              </c:strCache>
            </c:strRef>
          </c:cat>
          <c:val>
            <c:numRef>
              <c:f>Povit!$B$31:$B$33</c:f>
              <c:numCache>
                <c:formatCode>General</c:formatCode>
                <c:ptCount val="2"/>
                <c:pt idx="0">
                  <c:v>15</c:v>
                </c:pt>
                <c:pt idx="1">
                  <c:v>16</c:v>
                </c:pt>
              </c:numCache>
            </c:numRef>
          </c:val>
          <c:extLst>
            <c:ext xmlns:c16="http://schemas.microsoft.com/office/drawing/2014/chart" uri="{C3380CC4-5D6E-409C-BE32-E72D297353CC}">
              <c16:uniqueId val="{0000000C-953C-44AC-B60B-EF622529ACEC}"/>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[Customer_Behavior_Analysis.xlsx]Povit!PivotTable9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chemeClr val="accent1"/>
          </a:solidFill>
          <a:ln w="19050">
            <a:noFill/>
          </a:ln>
          <a:effectLst/>
        </c:spPr>
      </c:pivotFmt>
      <c:pivotFmt>
        <c:idx val="2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noFill/>
          </a:ln>
          <a:effectLst/>
        </c:spPr>
      </c:pivotFmt>
      <c:pivotFmt>
        <c:idx val="29"/>
        <c:spPr>
          <a:solidFill>
            <a:schemeClr val="accent1"/>
          </a:solidFill>
          <a:ln w="19050">
            <a:noFill/>
          </a:ln>
          <a:effectLst/>
        </c:spPr>
      </c:pivotFmt>
      <c:pivotFmt>
        <c:idx val="30"/>
        <c:spPr>
          <a:solidFill>
            <a:schemeClr val="accent1"/>
          </a:solidFill>
          <a:ln w="19050">
            <a:noFill/>
          </a:ln>
          <a:effectLst/>
        </c:spPr>
      </c:pivotFmt>
      <c:pivotFmt>
        <c:idx val="31"/>
        <c:spPr>
          <a:solidFill>
            <a:schemeClr val="accent1"/>
          </a:solidFill>
          <a:ln w="19050">
            <a:noFill/>
          </a:ln>
          <a:effectLst/>
        </c:spPr>
      </c:pivotFmt>
      <c:pivotFmt>
        <c:idx val="32"/>
        <c:spPr>
          <a:solidFill>
            <a:schemeClr val="accent1"/>
          </a:solidFill>
          <a:ln w="19050">
            <a:noFill/>
          </a:ln>
          <a:effectLst/>
        </c:spPr>
      </c:pivotFmt>
    </c:pivotFmts>
    <c:plotArea>
      <c:layout/>
      <c:pieChart>
        <c:varyColors val="1"/>
        <c:ser>
          <c:idx val="0"/>
          <c:order val="0"/>
          <c:tx>
            <c:strRef>
              <c:f>Povit!$F$12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D6A-4497-BC6B-D2EF124087E7}"/>
              </c:ext>
            </c:extLst>
          </c:dPt>
          <c:dPt>
            <c:idx val="1"/>
            <c:bubble3D val="0"/>
            <c:spPr>
              <a:solidFill>
                <a:schemeClr val="accent2"/>
              </a:solidFill>
              <a:ln w="19050">
                <a:noFill/>
              </a:ln>
              <a:effectLst/>
            </c:spPr>
            <c:extLst>
              <c:ext xmlns:c16="http://schemas.microsoft.com/office/drawing/2014/chart" uri="{C3380CC4-5D6E-409C-BE32-E72D297353CC}">
                <c16:uniqueId val="{00000003-0D6A-4497-BC6B-D2EF124087E7}"/>
              </c:ext>
            </c:extLst>
          </c:dPt>
          <c:dPt>
            <c:idx val="2"/>
            <c:bubble3D val="0"/>
            <c:spPr>
              <a:solidFill>
                <a:schemeClr val="accent3"/>
              </a:solidFill>
              <a:ln w="19050">
                <a:noFill/>
              </a:ln>
              <a:effectLst/>
            </c:spPr>
            <c:extLst>
              <c:ext xmlns:c16="http://schemas.microsoft.com/office/drawing/2014/chart" uri="{C3380CC4-5D6E-409C-BE32-E72D297353CC}">
                <c16:uniqueId val="{00000005-0D6A-4497-BC6B-D2EF124087E7}"/>
              </c:ext>
            </c:extLst>
          </c:dPt>
          <c:dPt>
            <c:idx val="3"/>
            <c:bubble3D val="0"/>
            <c:spPr>
              <a:solidFill>
                <a:schemeClr val="accent4"/>
              </a:solidFill>
              <a:ln w="19050">
                <a:noFill/>
              </a:ln>
              <a:effectLst/>
            </c:spPr>
            <c:extLst>
              <c:ext xmlns:c16="http://schemas.microsoft.com/office/drawing/2014/chart" uri="{C3380CC4-5D6E-409C-BE32-E72D297353CC}">
                <c16:uniqueId val="{00000007-0D6A-4497-BC6B-D2EF124087E7}"/>
              </c:ext>
            </c:extLst>
          </c:dPt>
          <c:dPt>
            <c:idx val="4"/>
            <c:bubble3D val="0"/>
            <c:spPr>
              <a:solidFill>
                <a:schemeClr val="accent5"/>
              </a:solidFill>
              <a:ln w="19050">
                <a:noFill/>
              </a:ln>
              <a:effectLst/>
            </c:spPr>
            <c:extLst>
              <c:ext xmlns:c16="http://schemas.microsoft.com/office/drawing/2014/chart" uri="{C3380CC4-5D6E-409C-BE32-E72D297353CC}">
                <c16:uniqueId val="{00000009-0D6A-4497-BC6B-D2EF124087E7}"/>
              </c:ext>
            </c:extLst>
          </c:dPt>
          <c:dPt>
            <c:idx val="5"/>
            <c:bubble3D val="0"/>
            <c:spPr>
              <a:solidFill>
                <a:schemeClr val="accent6"/>
              </a:solidFill>
              <a:ln w="19050">
                <a:noFill/>
              </a:ln>
              <a:effectLst/>
            </c:spPr>
            <c:extLst>
              <c:ext xmlns:c16="http://schemas.microsoft.com/office/drawing/2014/chart" uri="{C3380CC4-5D6E-409C-BE32-E72D297353CC}">
                <c16:uniqueId val="{0000000B-0D6A-4497-BC6B-D2EF124087E7}"/>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Povit!$E$13:$E$16</c:f>
              <c:strCache>
                <c:ptCount val="3"/>
                <c:pt idx="0">
                  <c:v>Electronics</c:v>
                </c:pt>
                <c:pt idx="1">
                  <c:v>Grocery</c:v>
                </c:pt>
                <c:pt idx="2">
                  <c:v>Sports</c:v>
                </c:pt>
              </c:strCache>
            </c:strRef>
          </c:cat>
          <c:val>
            <c:numRef>
              <c:f>Povit!$F$13:$F$16</c:f>
              <c:numCache>
                <c:formatCode>0.00</c:formatCode>
                <c:ptCount val="3"/>
                <c:pt idx="0">
                  <c:v>2.8888888888888888</c:v>
                </c:pt>
                <c:pt idx="1">
                  <c:v>2.6</c:v>
                </c:pt>
                <c:pt idx="2">
                  <c:v>2.75</c:v>
                </c:pt>
              </c:numCache>
            </c:numRef>
          </c:val>
          <c:extLst>
            <c:ext xmlns:c16="http://schemas.microsoft.com/office/drawing/2014/chart" uri="{C3380CC4-5D6E-409C-BE32-E72D297353CC}">
              <c16:uniqueId val="{0000000C-0D6A-4497-BC6B-D2EF124087E7}"/>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[Customer_Behavior_Analysis.xlsx]Povit!PivotTable2</c:name>
    <c:fmtId val="1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Povit!$G$49</c:f>
              <c:strCache>
                <c:ptCount val="1"/>
                <c:pt idx="0">
                  <c:v>Total</c:v>
                </c:pt>
              </c:strCache>
            </c:strRef>
          </c:tx>
          <c:spPr>
            <a:solidFill>
              <a:schemeClr val="accent6"/>
            </a:solidFill>
            <a:ln>
              <a:noFill/>
            </a:ln>
            <a:effectLst/>
          </c:spPr>
          <c:invertIfNegative val="0"/>
          <c:trendline>
            <c:spPr>
              <a:ln w="19050" cap="rnd">
                <a:solidFill>
                  <a:schemeClr val="accent6"/>
                </a:solidFill>
                <a:prstDash val="sysDot"/>
              </a:ln>
              <a:effectLst/>
            </c:spPr>
            <c:trendlineType val="movingAvg"/>
            <c:period val="2"/>
            <c:dispRSqr val="0"/>
            <c:dispEq val="0"/>
          </c:trendline>
          <c:cat>
            <c:strRef>
              <c:f>Povit!$F$50:$F$79</c:f>
              <c:strCache>
                <c:ptCount val="29"/>
                <c:pt idx="0">
                  <c:v>2024-01-11</c:v>
                </c:pt>
                <c:pt idx="1">
                  <c:v>2024-01-18</c:v>
                </c:pt>
                <c:pt idx="2">
                  <c:v>2024-02-07</c:v>
                </c:pt>
                <c:pt idx="3">
                  <c:v>2024-02-15</c:v>
                </c:pt>
                <c:pt idx="4">
                  <c:v>2024-03-01</c:v>
                </c:pt>
                <c:pt idx="5">
                  <c:v>2024-03-02</c:v>
                </c:pt>
                <c:pt idx="6">
                  <c:v>2024-03-08</c:v>
                </c:pt>
                <c:pt idx="7">
                  <c:v>2024-03-10</c:v>
                </c:pt>
                <c:pt idx="8">
                  <c:v>2024-04-21</c:v>
                </c:pt>
                <c:pt idx="9">
                  <c:v>2024-05-03</c:v>
                </c:pt>
                <c:pt idx="10">
                  <c:v>2024-05-15</c:v>
                </c:pt>
                <c:pt idx="11">
                  <c:v>2024-06-06</c:v>
                </c:pt>
                <c:pt idx="12">
                  <c:v>2024-06-11</c:v>
                </c:pt>
                <c:pt idx="13">
                  <c:v>2024-06-16</c:v>
                </c:pt>
                <c:pt idx="14">
                  <c:v>2024-07-31</c:v>
                </c:pt>
                <c:pt idx="15">
                  <c:v>2024-08-04</c:v>
                </c:pt>
                <c:pt idx="16">
                  <c:v>2024-08-05</c:v>
                </c:pt>
                <c:pt idx="17">
                  <c:v>2024-08-06</c:v>
                </c:pt>
                <c:pt idx="18">
                  <c:v>2024-08-17</c:v>
                </c:pt>
                <c:pt idx="19">
                  <c:v>2024-08-22</c:v>
                </c:pt>
                <c:pt idx="20">
                  <c:v>2024-09-12</c:v>
                </c:pt>
                <c:pt idx="21">
                  <c:v>2024-10-13</c:v>
                </c:pt>
                <c:pt idx="22">
                  <c:v>2024-11-07</c:v>
                </c:pt>
                <c:pt idx="23">
                  <c:v>2024-11-13</c:v>
                </c:pt>
                <c:pt idx="24">
                  <c:v>2024-11-21</c:v>
                </c:pt>
                <c:pt idx="25">
                  <c:v>2024-11-29</c:v>
                </c:pt>
                <c:pt idx="26">
                  <c:v>2024-12-05</c:v>
                </c:pt>
                <c:pt idx="27">
                  <c:v>2024-12-19</c:v>
                </c:pt>
                <c:pt idx="28">
                  <c:v>2024-12-26</c:v>
                </c:pt>
              </c:strCache>
            </c:strRef>
          </c:cat>
          <c:val>
            <c:numRef>
              <c:f>Povit!$G$50:$G$79</c:f>
              <c:numCache>
                <c:formatCode>General</c:formatCode>
                <c:ptCount val="29"/>
                <c:pt idx="0">
                  <c:v>1869.35</c:v>
                </c:pt>
                <c:pt idx="1">
                  <c:v>19428.91</c:v>
                </c:pt>
                <c:pt idx="2">
                  <c:v>16467.09</c:v>
                </c:pt>
                <c:pt idx="3">
                  <c:v>8725.23</c:v>
                </c:pt>
                <c:pt idx="4">
                  <c:v>72302.34</c:v>
                </c:pt>
                <c:pt idx="5">
                  <c:v>6370.04</c:v>
                </c:pt>
                <c:pt idx="6">
                  <c:v>7726.15</c:v>
                </c:pt>
                <c:pt idx="7">
                  <c:v>7917.99</c:v>
                </c:pt>
                <c:pt idx="8">
                  <c:v>26149.27</c:v>
                </c:pt>
                <c:pt idx="9">
                  <c:v>8323.57</c:v>
                </c:pt>
                <c:pt idx="10">
                  <c:v>5568.79</c:v>
                </c:pt>
                <c:pt idx="11">
                  <c:v>9305.7199999999993</c:v>
                </c:pt>
                <c:pt idx="12">
                  <c:v>51538.559999999998</c:v>
                </c:pt>
                <c:pt idx="13">
                  <c:v>20789.54</c:v>
                </c:pt>
                <c:pt idx="14">
                  <c:v>40476.730000000003</c:v>
                </c:pt>
                <c:pt idx="15">
                  <c:v>14861.19</c:v>
                </c:pt>
                <c:pt idx="16">
                  <c:v>79852.47</c:v>
                </c:pt>
                <c:pt idx="17">
                  <c:v>51079.13</c:v>
                </c:pt>
                <c:pt idx="18">
                  <c:v>9585.5</c:v>
                </c:pt>
                <c:pt idx="19">
                  <c:v>26659.02</c:v>
                </c:pt>
                <c:pt idx="20">
                  <c:v>3703.96</c:v>
                </c:pt>
                <c:pt idx="21">
                  <c:v>3377.31</c:v>
                </c:pt>
                <c:pt idx="22">
                  <c:v>39945.199999999997</c:v>
                </c:pt>
                <c:pt idx="23">
                  <c:v>21165.15</c:v>
                </c:pt>
                <c:pt idx="24">
                  <c:v>51750.91</c:v>
                </c:pt>
                <c:pt idx="25">
                  <c:v>2209.8000000000002</c:v>
                </c:pt>
                <c:pt idx="26">
                  <c:v>13183.46</c:v>
                </c:pt>
                <c:pt idx="27">
                  <c:v>8666.18</c:v>
                </c:pt>
                <c:pt idx="28">
                  <c:v>41930.36</c:v>
                </c:pt>
              </c:numCache>
            </c:numRef>
          </c:val>
          <c:extLst>
            <c:ext xmlns:c16="http://schemas.microsoft.com/office/drawing/2014/chart" uri="{C3380CC4-5D6E-409C-BE32-E72D297353CC}">
              <c16:uniqueId val="{00000001-E0CC-47D7-96F6-41D27D7D5498}"/>
            </c:ext>
          </c:extLst>
        </c:ser>
        <c:dLbls>
          <c:showLegendKey val="0"/>
          <c:showVal val="0"/>
          <c:showCatName val="0"/>
          <c:showSerName val="0"/>
          <c:showPercent val="0"/>
          <c:showBubbleSize val="0"/>
        </c:dLbls>
        <c:gapWidth val="219"/>
        <c:overlap val="-27"/>
        <c:axId val="410817616"/>
        <c:axId val="410819776"/>
      </c:barChart>
      <c:catAx>
        <c:axId val="410817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0819776"/>
        <c:crosses val="autoZero"/>
        <c:auto val="1"/>
        <c:lblAlgn val="ctr"/>
        <c:lblOffset val="100"/>
        <c:noMultiLvlLbl val="0"/>
      </c:catAx>
      <c:valAx>
        <c:axId val="41081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081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[Customer_Behavior_Analysis.xlsx]Povit!PivotTable1</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chemeClr val="accent1"/>
          </a:solidFill>
          <a:ln w="19050">
            <a:noFill/>
          </a:ln>
          <a:effectLst/>
        </c:spPr>
      </c:pivotFmt>
      <c:pivotFmt>
        <c:idx val="2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noFill/>
          </a:ln>
          <a:effectLst/>
        </c:spPr>
        <c:dLbl>
          <c:idx val="0"/>
          <c:layout>
            <c:manualLayout>
              <c:x val="-0.11535466294561274"/>
              <c:y val="0.1012643834745569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728197006594417"/>
                  <c:h val="0.12904267589388696"/>
                </c:manualLayout>
              </c15:layout>
            </c:ext>
          </c:extLst>
        </c:dLbl>
      </c:pivotFmt>
      <c:pivotFmt>
        <c:idx val="29"/>
        <c:spPr>
          <a:solidFill>
            <a:schemeClr val="accent1"/>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204212338558404"/>
                  <c:h val="0.11520184544405998"/>
                </c:manualLayout>
              </c15:layout>
            </c:ext>
          </c:extLst>
        </c:dLbl>
      </c:pivotFmt>
      <c:pivotFmt>
        <c:idx val="30"/>
        <c:spPr>
          <a:solidFill>
            <a:schemeClr val="accent1"/>
          </a:solidFill>
          <a:ln w="19050">
            <a:noFill/>
          </a:ln>
          <a:effectLst/>
        </c:spPr>
      </c:pivotFmt>
      <c:pivotFmt>
        <c:idx val="31"/>
        <c:spPr>
          <a:solidFill>
            <a:schemeClr val="accent1"/>
          </a:solidFill>
          <a:ln w="19050">
            <a:noFill/>
          </a:ln>
          <a:effectLst/>
        </c:spPr>
        <c:dLbl>
          <c:idx val="0"/>
          <c:layout>
            <c:manualLayout>
              <c:x val="0.11696833781853218"/>
              <c:y val="0.12725717243822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noFill/>
          </a:ln>
          <a:effectLst/>
        </c:spPr>
        <c:dLbl>
          <c:idx val="0"/>
          <c:layout>
            <c:manualLayout>
              <c:x val="3.4930396358683009E-2"/>
              <c:y val="3.97362613410347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Povit!$B$3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65A-47D8-8C1A-CC5E538FBACF}"/>
              </c:ext>
            </c:extLst>
          </c:dPt>
          <c:dPt>
            <c:idx val="1"/>
            <c:bubble3D val="0"/>
            <c:spPr>
              <a:solidFill>
                <a:schemeClr val="accent2"/>
              </a:solidFill>
              <a:ln w="19050">
                <a:noFill/>
              </a:ln>
              <a:effectLst/>
            </c:spPr>
            <c:extLst>
              <c:ext xmlns:c16="http://schemas.microsoft.com/office/drawing/2014/chart" uri="{C3380CC4-5D6E-409C-BE32-E72D297353CC}">
                <c16:uniqueId val="{00000003-E65A-47D8-8C1A-CC5E538FBACF}"/>
              </c:ext>
            </c:extLst>
          </c:dPt>
          <c:dPt>
            <c:idx val="2"/>
            <c:bubble3D val="0"/>
            <c:spPr>
              <a:solidFill>
                <a:schemeClr val="accent3"/>
              </a:solidFill>
              <a:ln w="19050">
                <a:noFill/>
              </a:ln>
              <a:effectLst/>
            </c:spPr>
            <c:extLst>
              <c:ext xmlns:c16="http://schemas.microsoft.com/office/drawing/2014/chart" uri="{C3380CC4-5D6E-409C-BE32-E72D297353CC}">
                <c16:uniqueId val="{00000005-E65A-47D8-8C1A-CC5E538FBACF}"/>
              </c:ext>
            </c:extLst>
          </c:dPt>
          <c:dPt>
            <c:idx val="3"/>
            <c:bubble3D val="0"/>
            <c:spPr>
              <a:solidFill>
                <a:schemeClr val="accent4"/>
              </a:solidFill>
              <a:ln w="19050">
                <a:noFill/>
              </a:ln>
              <a:effectLst/>
            </c:spPr>
            <c:extLst>
              <c:ext xmlns:c16="http://schemas.microsoft.com/office/drawing/2014/chart" uri="{C3380CC4-5D6E-409C-BE32-E72D297353CC}">
                <c16:uniqueId val="{00000007-E65A-47D8-8C1A-CC5E538FBACF}"/>
              </c:ext>
            </c:extLst>
          </c:dPt>
          <c:dPt>
            <c:idx val="4"/>
            <c:bubble3D val="0"/>
            <c:spPr>
              <a:solidFill>
                <a:schemeClr val="accent5"/>
              </a:solidFill>
              <a:ln w="19050">
                <a:noFill/>
              </a:ln>
              <a:effectLst/>
            </c:spPr>
            <c:extLst>
              <c:ext xmlns:c16="http://schemas.microsoft.com/office/drawing/2014/chart" uri="{C3380CC4-5D6E-409C-BE32-E72D297353CC}">
                <c16:uniqueId val="{00000009-E65A-47D8-8C1A-CC5E538FBACF}"/>
              </c:ext>
            </c:extLst>
          </c:dPt>
          <c:dPt>
            <c:idx val="5"/>
            <c:bubble3D val="0"/>
            <c:spPr>
              <a:solidFill>
                <a:schemeClr val="accent6"/>
              </a:solidFill>
              <a:ln w="19050">
                <a:noFill/>
              </a:ln>
              <a:effectLst/>
            </c:spPr>
            <c:extLst>
              <c:ext xmlns:c16="http://schemas.microsoft.com/office/drawing/2014/chart" uri="{C3380CC4-5D6E-409C-BE32-E72D297353CC}">
                <c16:uniqueId val="{0000000B-E65A-47D8-8C1A-CC5E538FBACF}"/>
              </c:ext>
            </c:extLst>
          </c:dPt>
          <c:dLbls>
            <c:dLbl>
              <c:idx val="0"/>
              <c:layout>
                <c:manualLayout>
                  <c:x val="-0.11535466294561274"/>
                  <c:y val="0.1012643834745569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728197006594417"/>
                      <c:h val="0.12904267589388696"/>
                    </c:manualLayout>
                  </c15:layout>
                </c:ext>
                <c:ext xmlns:c16="http://schemas.microsoft.com/office/drawing/2014/chart" uri="{C3380CC4-5D6E-409C-BE32-E72D297353CC}">
                  <c16:uniqueId val="{00000001-E65A-47D8-8C1A-CC5E538FBACF}"/>
                </c:ext>
              </c:extLst>
            </c:dLbl>
            <c:dLbl>
              <c:idx val="1"/>
              <c:layout>
                <c:manualLayout>
                  <c:x val="0.11696833781853218"/>
                  <c:y val="0.127257172438220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5A-47D8-8C1A-CC5E538FBACF}"/>
                </c:ext>
              </c:extLst>
            </c:dLbl>
            <c:dLbl>
              <c:idx val="2"/>
              <c:layout>
                <c:manualLayout>
                  <c:x val="3.4930396358683009E-2"/>
                  <c:y val="3.97362613410347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5A-47D8-8C1A-CC5E538FBA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Povit!$A$4:$A$7</c:f>
              <c:strCache>
                <c:ptCount val="3"/>
                <c:pt idx="0">
                  <c:v>Electronics</c:v>
                </c:pt>
                <c:pt idx="1">
                  <c:v>Sports</c:v>
                </c:pt>
                <c:pt idx="2">
                  <c:v>Grocery</c:v>
                </c:pt>
              </c:strCache>
            </c:strRef>
          </c:cat>
          <c:val>
            <c:numRef>
              <c:f>Povit!$B$4:$B$7</c:f>
              <c:numCache>
                <c:formatCode>General</c:formatCode>
                <c:ptCount val="3"/>
                <c:pt idx="0">
                  <c:v>428897.78</c:v>
                </c:pt>
                <c:pt idx="1">
                  <c:v>179286.55999999997</c:v>
                </c:pt>
                <c:pt idx="2">
                  <c:v>62744.58</c:v>
                </c:pt>
              </c:numCache>
            </c:numRef>
          </c:val>
          <c:extLst>
            <c:ext xmlns:c16="http://schemas.microsoft.com/office/drawing/2014/chart" uri="{C3380CC4-5D6E-409C-BE32-E72D297353CC}">
              <c16:uniqueId val="{0000000C-E65A-47D8-8C1A-CC5E538FBACF}"/>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[Customer_Behavior_Analysis.xlsx]Povit!PivotTable3</c:name>
    <c:fmtId val="5"/>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noFill/>
          </a:ln>
          <a:effectLst/>
        </c:spPr>
      </c:pivotFmt>
      <c:pivotFmt>
        <c:idx val="7"/>
        <c:spPr>
          <a:solidFill>
            <a:schemeClr val="accent2"/>
          </a:solidFill>
          <a:ln w="19050">
            <a:noFill/>
          </a:ln>
          <a:effectLst/>
        </c:spPr>
      </c:pivotFmt>
      <c:pivotFmt>
        <c:idx val="8"/>
        <c:spPr>
          <a:solidFill>
            <a:schemeClr val="accent2"/>
          </a:solidFill>
          <a:ln w="19050">
            <a:noFill/>
          </a:ln>
          <a:effectLst/>
        </c:spPr>
      </c:pivotFmt>
    </c:pivotFmts>
    <c:plotArea>
      <c:layout/>
      <c:doughnutChart>
        <c:varyColors val="1"/>
        <c:ser>
          <c:idx val="0"/>
          <c:order val="0"/>
          <c:tx>
            <c:strRef>
              <c:f>Povit!$K$3</c:f>
              <c:strCache>
                <c:ptCount val="1"/>
                <c:pt idx="0">
                  <c:v>Total</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1-EBE9-44A1-9C5D-37D9B96A5AA8}"/>
              </c:ext>
            </c:extLst>
          </c:dPt>
          <c:dPt>
            <c:idx val="1"/>
            <c:bubble3D val="0"/>
            <c:spPr>
              <a:solidFill>
                <a:schemeClr val="accent4"/>
              </a:solidFill>
              <a:ln w="19050">
                <a:noFill/>
              </a:ln>
              <a:effectLst/>
            </c:spPr>
            <c:extLst>
              <c:ext xmlns:c16="http://schemas.microsoft.com/office/drawing/2014/chart" uri="{C3380CC4-5D6E-409C-BE32-E72D297353CC}">
                <c16:uniqueId val="{00000003-EBE9-44A1-9C5D-37D9B96A5AA8}"/>
              </c:ext>
            </c:extLst>
          </c:dPt>
          <c:dPt>
            <c:idx val="2"/>
            <c:bubble3D val="0"/>
            <c:spPr>
              <a:solidFill>
                <a:schemeClr val="accent6"/>
              </a:solidFill>
              <a:ln w="19050">
                <a:noFill/>
              </a:ln>
              <a:effectLst/>
            </c:spPr>
            <c:extLst>
              <c:ext xmlns:c16="http://schemas.microsoft.com/office/drawing/2014/chart" uri="{C3380CC4-5D6E-409C-BE32-E72D297353CC}">
                <c16:uniqueId val="{00000005-EBE9-44A1-9C5D-37D9B96A5AA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Povit!$J$4:$J$7</c:f>
              <c:strCache>
                <c:ptCount val="3"/>
                <c:pt idx="0">
                  <c:v>Card</c:v>
                </c:pt>
                <c:pt idx="1">
                  <c:v>Cash</c:v>
                </c:pt>
                <c:pt idx="2">
                  <c:v>Online</c:v>
                </c:pt>
              </c:strCache>
            </c:strRef>
          </c:cat>
          <c:val>
            <c:numRef>
              <c:f>Povit!$K$4:$K$7</c:f>
              <c:numCache>
                <c:formatCode>General</c:formatCode>
                <c:ptCount val="3"/>
                <c:pt idx="0">
                  <c:v>220170.55</c:v>
                </c:pt>
                <c:pt idx="1">
                  <c:v>201015.65999999997</c:v>
                </c:pt>
                <c:pt idx="2">
                  <c:v>249742.70999999996</c:v>
                </c:pt>
              </c:numCache>
            </c:numRef>
          </c:val>
          <c:extLst>
            <c:ext xmlns:c16="http://schemas.microsoft.com/office/drawing/2014/chart" uri="{C3380CC4-5D6E-409C-BE32-E72D297353CC}">
              <c16:uniqueId val="{00000006-EBE9-44A1-9C5D-37D9B96A5AA8}"/>
            </c:ext>
          </c:extLst>
        </c:ser>
        <c:dLbls>
          <c:showLegendKey val="0"/>
          <c:showVal val="1"/>
          <c:showCatName val="0"/>
          <c:showSerName val="0"/>
          <c:showPercent val="0"/>
          <c:showBubbleSize val="0"/>
          <c:showLeaderLines val="1"/>
        </c:dLbls>
        <c:firstSliceAng val="123"/>
        <c:holeSize val="3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19051</xdr:colOff>
      <xdr:row>0</xdr:row>
      <xdr:rowOff>104775</xdr:rowOff>
    </xdr:from>
    <xdr:to>
      <xdr:col>1</xdr:col>
      <xdr:colOff>57150</xdr:colOff>
      <xdr:row>1</xdr:row>
      <xdr:rowOff>161925</xdr:rowOff>
    </xdr:to>
    <xdr:sp macro="" textlink="">
      <xdr:nvSpPr>
        <xdr:cNvPr id="2" name="Rectangle 1">
          <a:extLst>
            <a:ext uri="{FF2B5EF4-FFF2-40B4-BE49-F238E27FC236}">
              <a16:creationId xmlns:a16="http://schemas.microsoft.com/office/drawing/2014/main" id="{B3B4AA65-9AC0-77CB-F9C4-AAB9E4BDD518}"/>
            </a:ext>
          </a:extLst>
        </xdr:cNvPr>
        <xdr:cNvSpPr/>
      </xdr:nvSpPr>
      <xdr:spPr>
        <a:xfrm>
          <a:off x="19051" y="104775"/>
          <a:ext cx="1419224"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Revenue</a:t>
          </a:r>
        </a:p>
      </xdr:txBody>
    </xdr:sp>
    <xdr:clientData/>
  </xdr:twoCellAnchor>
  <xdr:twoCellAnchor>
    <xdr:from>
      <xdr:col>0</xdr:col>
      <xdr:colOff>23381</xdr:colOff>
      <xdr:row>26</xdr:row>
      <xdr:rowOff>128156</xdr:rowOff>
    </xdr:from>
    <xdr:to>
      <xdr:col>0</xdr:col>
      <xdr:colOff>1382858</xdr:colOff>
      <xdr:row>27</xdr:row>
      <xdr:rowOff>189635</xdr:rowOff>
    </xdr:to>
    <xdr:sp macro="" textlink="">
      <xdr:nvSpPr>
        <xdr:cNvPr id="3" name="Rectangle 2">
          <a:extLst>
            <a:ext uri="{FF2B5EF4-FFF2-40B4-BE49-F238E27FC236}">
              <a16:creationId xmlns:a16="http://schemas.microsoft.com/office/drawing/2014/main" id="{A2D45823-C7B2-A29B-33F2-36B70875B21B}"/>
            </a:ext>
          </a:extLst>
        </xdr:cNvPr>
        <xdr:cNvSpPr/>
      </xdr:nvSpPr>
      <xdr:spPr>
        <a:xfrm>
          <a:off x="23381" y="5193724"/>
          <a:ext cx="1359477" cy="2563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Customer</a:t>
          </a:r>
        </a:p>
      </xdr:txBody>
    </xdr:sp>
    <xdr:clientData/>
  </xdr:twoCellAnchor>
  <xdr:twoCellAnchor>
    <xdr:from>
      <xdr:col>3</xdr:col>
      <xdr:colOff>190500</xdr:colOff>
      <xdr:row>0</xdr:row>
      <xdr:rowOff>76200</xdr:rowOff>
    </xdr:from>
    <xdr:to>
      <xdr:col>4</xdr:col>
      <xdr:colOff>1352550</xdr:colOff>
      <xdr:row>1</xdr:row>
      <xdr:rowOff>133350</xdr:rowOff>
    </xdr:to>
    <xdr:sp macro="" textlink="">
      <xdr:nvSpPr>
        <xdr:cNvPr id="4" name="Rectangle 3">
          <a:extLst>
            <a:ext uri="{FF2B5EF4-FFF2-40B4-BE49-F238E27FC236}">
              <a16:creationId xmlns:a16="http://schemas.microsoft.com/office/drawing/2014/main" id="{75D84B15-15B4-189A-5DC1-1D4B71A17FDB}"/>
            </a:ext>
          </a:extLst>
        </xdr:cNvPr>
        <xdr:cNvSpPr/>
      </xdr:nvSpPr>
      <xdr:spPr>
        <a:xfrm>
          <a:off x="3562350" y="76200"/>
          <a:ext cx="2038350"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City</a:t>
          </a:r>
          <a:r>
            <a:rPr lang="en-US" sz="1100" baseline="0"/>
            <a:t> Wise Total Purchase</a:t>
          </a:r>
          <a:endParaRPr lang="en-US" sz="1100"/>
        </a:p>
      </xdr:txBody>
    </xdr:sp>
    <xdr:clientData/>
  </xdr:twoCellAnchor>
  <xdr:twoCellAnchor>
    <xdr:from>
      <xdr:col>6</xdr:col>
      <xdr:colOff>114300</xdr:colOff>
      <xdr:row>0</xdr:row>
      <xdr:rowOff>19050</xdr:rowOff>
    </xdr:from>
    <xdr:to>
      <xdr:col>7</xdr:col>
      <xdr:colOff>1276350</xdr:colOff>
      <xdr:row>1</xdr:row>
      <xdr:rowOff>76200</xdr:rowOff>
    </xdr:to>
    <xdr:sp macro="" textlink="">
      <xdr:nvSpPr>
        <xdr:cNvPr id="5" name="Rectangle 4">
          <a:extLst>
            <a:ext uri="{FF2B5EF4-FFF2-40B4-BE49-F238E27FC236}">
              <a16:creationId xmlns:a16="http://schemas.microsoft.com/office/drawing/2014/main" id="{F4171E73-2A81-2FBA-7B91-999BEF24DC6D}"/>
            </a:ext>
          </a:extLst>
        </xdr:cNvPr>
        <xdr:cNvSpPr/>
      </xdr:nvSpPr>
      <xdr:spPr>
        <a:xfrm>
          <a:off x="6848475" y="19050"/>
          <a:ext cx="2038350"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Purchase</a:t>
          </a:r>
          <a:r>
            <a:rPr lang="en-US" sz="1100" baseline="0"/>
            <a:t> Channel wise sale</a:t>
          </a:r>
          <a:endParaRPr lang="en-US" sz="1100"/>
        </a:p>
      </xdr:txBody>
    </xdr:sp>
    <xdr:clientData/>
  </xdr:twoCellAnchor>
  <xdr:twoCellAnchor>
    <xdr:from>
      <xdr:col>9</xdr:col>
      <xdr:colOff>85725</xdr:colOff>
      <xdr:row>0</xdr:row>
      <xdr:rowOff>38100</xdr:rowOff>
    </xdr:from>
    <xdr:to>
      <xdr:col>10</xdr:col>
      <xdr:colOff>1247775</xdr:colOff>
      <xdr:row>1</xdr:row>
      <xdr:rowOff>95250</xdr:rowOff>
    </xdr:to>
    <xdr:sp macro="" textlink="">
      <xdr:nvSpPr>
        <xdr:cNvPr id="6" name="Rectangle 5">
          <a:extLst>
            <a:ext uri="{FF2B5EF4-FFF2-40B4-BE49-F238E27FC236}">
              <a16:creationId xmlns:a16="http://schemas.microsoft.com/office/drawing/2014/main" id="{ABF31E24-7E8A-2710-3EFD-90879CB064AE}"/>
            </a:ext>
          </a:extLst>
        </xdr:cNvPr>
        <xdr:cNvSpPr/>
      </xdr:nvSpPr>
      <xdr:spPr>
        <a:xfrm>
          <a:off x="10182225" y="38100"/>
          <a:ext cx="2038350"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Payment</a:t>
          </a:r>
          <a:r>
            <a:rPr lang="en-US" sz="1100" baseline="0"/>
            <a:t> Method wise sale</a:t>
          </a:r>
          <a:endParaRPr lang="en-US" sz="1100"/>
        </a:p>
      </xdr:txBody>
    </xdr:sp>
    <xdr:clientData/>
  </xdr:twoCellAnchor>
  <xdr:twoCellAnchor>
    <xdr:from>
      <xdr:col>13</xdr:col>
      <xdr:colOff>1344420</xdr:colOff>
      <xdr:row>9</xdr:row>
      <xdr:rowOff>70856</xdr:rowOff>
    </xdr:from>
    <xdr:to>
      <xdr:col>16</xdr:col>
      <xdr:colOff>601469</xdr:colOff>
      <xdr:row>10</xdr:row>
      <xdr:rowOff>128006</xdr:rowOff>
    </xdr:to>
    <xdr:sp macro="" textlink="">
      <xdr:nvSpPr>
        <xdr:cNvPr id="7" name="Rectangle 6">
          <a:extLst>
            <a:ext uri="{FF2B5EF4-FFF2-40B4-BE49-F238E27FC236}">
              <a16:creationId xmlns:a16="http://schemas.microsoft.com/office/drawing/2014/main" id="{7F0A50AA-801E-BDD2-451A-F178EE925390}"/>
            </a:ext>
          </a:extLst>
        </xdr:cNvPr>
        <xdr:cNvSpPr/>
      </xdr:nvSpPr>
      <xdr:spPr>
        <a:xfrm>
          <a:off x="16549572" y="1743539"/>
          <a:ext cx="2079702" cy="24300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Age Wise Purchase</a:t>
          </a:r>
        </a:p>
      </xdr:txBody>
    </xdr:sp>
    <xdr:clientData/>
  </xdr:twoCellAnchor>
  <xdr:twoCellAnchor>
    <xdr:from>
      <xdr:col>4</xdr:col>
      <xdr:colOff>171450</xdr:colOff>
      <xdr:row>9</xdr:row>
      <xdr:rowOff>85725</xdr:rowOff>
    </xdr:from>
    <xdr:to>
      <xdr:col>4</xdr:col>
      <xdr:colOff>1504950</xdr:colOff>
      <xdr:row>10</xdr:row>
      <xdr:rowOff>142875</xdr:rowOff>
    </xdr:to>
    <xdr:sp macro="" textlink="">
      <xdr:nvSpPr>
        <xdr:cNvPr id="8" name="Rectangle 7">
          <a:extLst>
            <a:ext uri="{FF2B5EF4-FFF2-40B4-BE49-F238E27FC236}">
              <a16:creationId xmlns:a16="http://schemas.microsoft.com/office/drawing/2014/main" id="{90012A49-CFCA-F5D4-4880-0F8E94704F64}"/>
            </a:ext>
          </a:extLst>
        </xdr:cNvPr>
        <xdr:cNvSpPr/>
      </xdr:nvSpPr>
      <xdr:spPr>
        <a:xfrm>
          <a:off x="4419600" y="1800225"/>
          <a:ext cx="1333500" cy="24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Avg Satisfaction</a:t>
          </a:r>
          <a:endParaRPr lang="en-US" sz="1100"/>
        </a:p>
      </xdr:txBody>
    </xdr:sp>
    <xdr:clientData/>
  </xdr:twoCellAnchor>
  <xdr:twoCellAnchor>
    <xdr:from>
      <xdr:col>4</xdr:col>
      <xdr:colOff>1663700</xdr:colOff>
      <xdr:row>0</xdr:row>
      <xdr:rowOff>90261</xdr:rowOff>
    </xdr:from>
    <xdr:to>
      <xdr:col>5</xdr:col>
      <xdr:colOff>1540329</xdr:colOff>
      <xdr:row>9</xdr:row>
      <xdr:rowOff>140155</xdr:rowOff>
    </xdr:to>
    <xdr:graphicFrame macro="">
      <xdr:nvGraphicFramePr>
        <xdr:cNvPr id="9" name="Chart 8">
          <a:extLst>
            <a:ext uri="{FF2B5EF4-FFF2-40B4-BE49-F238E27FC236}">
              <a16:creationId xmlns:a16="http://schemas.microsoft.com/office/drawing/2014/main" id="{31014856-145F-48C2-211C-68F0B29E4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577234</xdr:colOff>
      <xdr:row>16</xdr:row>
      <xdr:rowOff>70857</xdr:rowOff>
    </xdr:from>
    <xdr:to>
      <xdr:col>6</xdr:col>
      <xdr:colOff>639579</xdr:colOff>
      <xdr:row>25</xdr:row>
      <xdr:rowOff>128007</xdr:rowOff>
    </xdr:to>
    <mc:AlternateContent xmlns:mc="http://schemas.openxmlformats.org/markup-compatibility/2006" xmlns:a14="http://schemas.microsoft.com/office/drawing/2010/main">
      <mc:Choice Requires="a14">
        <xdr:graphicFrame macro="">
          <xdr:nvGraphicFramePr>
            <xdr:cNvPr id="10" name="Product_Category">
              <a:extLst>
                <a:ext uri="{FF2B5EF4-FFF2-40B4-BE49-F238E27FC236}">
                  <a16:creationId xmlns:a16="http://schemas.microsoft.com/office/drawing/2014/main" id="{9C156148-EEBA-DCD7-90FC-1DA2E18C1C4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5166552" y="3188130"/>
              <a:ext cx="942975" cy="1810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729427</xdr:colOff>
      <xdr:row>16</xdr:row>
      <xdr:rowOff>98392</xdr:rowOff>
    </xdr:from>
    <xdr:to>
      <xdr:col>7</xdr:col>
      <xdr:colOff>193581</xdr:colOff>
      <xdr:row>25</xdr:row>
      <xdr:rowOff>117442</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BF7F0C7A-5A0D-7424-7F7D-DFD5ACB0AA6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227950" y="3215665"/>
              <a:ext cx="1068683" cy="1772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285288</xdr:colOff>
      <xdr:row>35</xdr:row>
      <xdr:rowOff>153259</xdr:rowOff>
    </xdr:from>
    <xdr:to>
      <xdr:col>11</xdr:col>
      <xdr:colOff>601880</xdr:colOff>
      <xdr:row>50</xdr:row>
      <xdr:rowOff>5563</xdr:rowOff>
    </xdr:to>
    <xdr:graphicFrame macro="">
      <xdr:nvGraphicFramePr>
        <xdr:cNvPr id="12" name="Chart 11">
          <a:extLst>
            <a:ext uri="{FF2B5EF4-FFF2-40B4-BE49-F238E27FC236}">
              <a16:creationId xmlns:a16="http://schemas.microsoft.com/office/drawing/2014/main" id="{5E31D9B4-59F6-02F1-ECF2-5B32C8997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275295</xdr:colOff>
      <xdr:row>0</xdr:row>
      <xdr:rowOff>0</xdr:rowOff>
    </xdr:from>
    <xdr:to>
      <xdr:col>17</xdr:col>
      <xdr:colOff>23232</xdr:colOff>
      <xdr:row>8</xdr:row>
      <xdr:rowOff>105472</xdr:rowOff>
    </xdr:to>
    <xdr:graphicFrame macro="">
      <xdr:nvGraphicFramePr>
        <xdr:cNvPr id="13" name="Chart 12">
          <a:extLst>
            <a:ext uri="{FF2B5EF4-FFF2-40B4-BE49-F238E27FC236}">
              <a16:creationId xmlns:a16="http://schemas.microsoft.com/office/drawing/2014/main" id="{2D4824D7-007B-B060-3445-BD11B670EA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431032</xdr:colOff>
      <xdr:row>45</xdr:row>
      <xdr:rowOff>54119</xdr:rowOff>
    </xdr:from>
    <xdr:to>
      <xdr:col>6</xdr:col>
      <xdr:colOff>1049914</xdr:colOff>
      <xdr:row>46</xdr:row>
      <xdr:rowOff>182022</xdr:rowOff>
    </xdr:to>
    <xdr:sp macro="" textlink="">
      <xdr:nvSpPr>
        <xdr:cNvPr id="14" name="Rectangle 13">
          <a:extLst>
            <a:ext uri="{FF2B5EF4-FFF2-40B4-BE49-F238E27FC236}">
              <a16:creationId xmlns:a16="http://schemas.microsoft.com/office/drawing/2014/main" id="{DB85553C-8C61-6B20-6DAA-4C458DD8051D}"/>
            </a:ext>
          </a:extLst>
        </xdr:cNvPr>
        <xdr:cNvSpPr/>
      </xdr:nvSpPr>
      <xdr:spPr>
        <a:xfrm>
          <a:off x="5171884" y="8821449"/>
          <a:ext cx="1528087" cy="32273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Date Wise Sale</a:t>
          </a:r>
          <a:endParaRPr lang="en-US" sz="1100"/>
        </a:p>
      </xdr:txBody>
    </xdr:sp>
    <xdr:clientData/>
  </xdr:twoCellAnchor>
  <xdr:twoCellAnchor>
    <xdr:from>
      <xdr:col>6</xdr:col>
      <xdr:colOff>165025</xdr:colOff>
      <xdr:row>12</xdr:row>
      <xdr:rowOff>88604</xdr:rowOff>
    </xdr:from>
    <xdr:to>
      <xdr:col>6</xdr:col>
      <xdr:colOff>575929</xdr:colOff>
      <xdr:row>13</xdr:row>
      <xdr:rowOff>155057</xdr:rowOff>
    </xdr:to>
    <xdr:sp macro="" textlink="$F$11">
      <xdr:nvSpPr>
        <xdr:cNvPr id="17" name="Rectangle: Rounded Corners 16">
          <a:extLst>
            <a:ext uri="{FF2B5EF4-FFF2-40B4-BE49-F238E27FC236}">
              <a16:creationId xmlns:a16="http://schemas.microsoft.com/office/drawing/2014/main" id="{BA6414FB-AD63-8553-F577-4E9E07B3A2BF}"/>
            </a:ext>
          </a:extLst>
        </xdr:cNvPr>
        <xdr:cNvSpPr/>
      </xdr:nvSpPr>
      <xdr:spPr>
        <a:xfrm>
          <a:off x="5651425" y="2374604"/>
          <a:ext cx="410904" cy="256953"/>
        </a:xfrm>
        <a:prstGeom prst="roundRect">
          <a:avLst/>
        </a:prstGeom>
        <a:ln>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B5930661-08E0-4F35-AA0D-493648F4CD4C}" type="TxLink">
            <a:rPr lang="en-US" sz="1100" b="1" i="0" u="none" strike="noStrike">
              <a:solidFill>
                <a:srgbClr val="000000"/>
              </a:solidFill>
              <a:latin typeface="Calibri"/>
              <a:cs typeface="Calibri"/>
            </a:rPr>
            <a:pPr algn="l"/>
            <a:t>2.74</a:t>
          </a:fld>
          <a:endParaRPr lang="en-US" sz="1100" b="1"/>
        </a:p>
      </xdr:txBody>
    </xdr:sp>
    <xdr:clientData/>
  </xdr:twoCellAnchor>
  <xdr:twoCellAnchor>
    <xdr:from>
      <xdr:col>0</xdr:col>
      <xdr:colOff>114642</xdr:colOff>
      <xdr:row>9</xdr:row>
      <xdr:rowOff>171530</xdr:rowOff>
    </xdr:from>
    <xdr:to>
      <xdr:col>0</xdr:col>
      <xdr:colOff>1144671</xdr:colOff>
      <xdr:row>11</xdr:row>
      <xdr:rowOff>43155</xdr:rowOff>
    </xdr:to>
    <xdr:sp macro="" textlink="$B$4">
      <xdr:nvSpPr>
        <xdr:cNvPr id="18" name="Rectangle: Rounded Corners 17">
          <a:extLst>
            <a:ext uri="{FF2B5EF4-FFF2-40B4-BE49-F238E27FC236}">
              <a16:creationId xmlns:a16="http://schemas.microsoft.com/office/drawing/2014/main" id="{68466D27-3259-5624-6D41-2ACADD55A74F}"/>
            </a:ext>
          </a:extLst>
        </xdr:cNvPr>
        <xdr:cNvSpPr/>
      </xdr:nvSpPr>
      <xdr:spPr>
        <a:xfrm>
          <a:off x="114642" y="1924996"/>
          <a:ext cx="1030029" cy="261284"/>
        </a:xfrm>
        <a:prstGeom prst="roundRect">
          <a:avLst/>
        </a:prstGeom>
        <a:ln>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4F81A735-D2DC-4C18-B2A5-C65489A0BAEF}" type="TxLink">
            <a:rPr lang="en-US" sz="1100" b="1" i="0" u="none" strike="noStrike">
              <a:solidFill>
                <a:srgbClr val="000000"/>
              </a:solidFill>
              <a:latin typeface="Calibri"/>
              <a:cs typeface="Calibri"/>
            </a:rPr>
            <a:pPr algn="l"/>
            <a:t>428897.78</a:t>
          </a:fld>
          <a:endParaRPr lang="en-US" sz="1100" b="1"/>
        </a:p>
      </xdr:txBody>
    </xdr:sp>
    <xdr:clientData/>
  </xdr:twoCellAnchor>
  <xdr:twoCellAnchor>
    <xdr:from>
      <xdr:col>0</xdr:col>
      <xdr:colOff>232809</xdr:colOff>
      <xdr:row>35</xdr:row>
      <xdr:rowOff>7018</xdr:rowOff>
    </xdr:from>
    <xdr:to>
      <xdr:col>0</xdr:col>
      <xdr:colOff>900888</xdr:colOff>
      <xdr:row>36</xdr:row>
      <xdr:rowOff>73471</xdr:rowOff>
    </xdr:to>
    <xdr:sp macro="" textlink="$B$35">
      <xdr:nvSpPr>
        <xdr:cNvPr id="19" name="Rectangle: Rounded Corners 18">
          <a:extLst>
            <a:ext uri="{FF2B5EF4-FFF2-40B4-BE49-F238E27FC236}">
              <a16:creationId xmlns:a16="http://schemas.microsoft.com/office/drawing/2014/main" id="{86236B49-AFC9-D45F-EE21-415BA4B04820}"/>
            </a:ext>
          </a:extLst>
        </xdr:cNvPr>
        <xdr:cNvSpPr/>
      </xdr:nvSpPr>
      <xdr:spPr>
        <a:xfrm>
          <a:off x="232809" y="6826052"/>
          <a:ext cx="668079" cy="261283"/>
        </a:xfrm>
        <a:prstGeom prst="roundRect">
          <a:avLst/>
        </a:prstGeom>
        <a:ln>
          <a:solidFill>
            <a:schemeClr val="accent3"/>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F2E0409-1863-4A1D-8724-3D78001CEA44}" type="TxLink">
            <a:rPr lang="en-US" sz="1100" b="0" i="0" u="none" strike="noStrike">
              <a:solidFill>
                <a:srgbClr val="000000"/>
              </a:solidFill>
              <a:latin typeface="Calibri"/>
              <a:cs typeface="Calibri"/>
            </a:rPr>
            <a:pPr algn="l"/>
            <a:t>31</a:t>
          </a:fld>
          <a:endParaRPr lang="en-US" sz="1100" b="1"/>
        </a:p>
      </xdr:txBody>
    </xdr:sp>
    <xdr:clientData/>
  </xdr:twoCellAnchor>
  <xdr:twoCellAnchor>
    <xdr:from>
      <xdr:col>10</xdr:col>
      <xdr:colOff>291777</xdr:colOff>
      <xdr:row>8</xdr:row>
      <xdr:rowOff>81758</xdr:rowOff>
    </xdr:from>
    <xdr:to>
      <xdr:col>11</xdr:col>
      <xdr:colOff>1139502</xdr:colOff>
      <xdr:row>9</xdr:row>
      <xdr:rowOff>142360</xdr:rowOff>
    </xdr:to>
    <xdr:sp macro="" textlink="">
      <xdr:nvSpPr>
        <xdr:cNvPr id="20" name="Rectangle 19">
          <a:extLst>
            <a:ext uri="{FF2B5EF4-FFF2-40B4-BE49-F238E27FC236}">
              <a16:creationId xmlns:a16="http://schemas.microsoft.com/office/drawing/2014/main" id="{5FB857D3-410F-4CDF-A714-9DF2BDB9784A}"/>
            </a:ext>
          </a:extLst>
        </xdr:cNvPr>
        <xdr:cNvSpPr/>
      </xdr:nvSpPr>
      <xdr:spPr>
        <a:xfrm>
          <a:off x="12643352" y="1615654"/>
          <a:ext cx="1781669" cy="2523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Membership wise Sale</a:t>
          </a:r>
        </a:p>
      </xdr:txBody>
    </xdr:sp>
    <xdr:clientData/>
  </xdr:twoCellAnchor>
  <xdr:twoCellAnchor>
    <xdr:from>
      <xdr:col>10</xdr:col>
      <xdr:colOff>391746</xdr:colOff>
      <xdr:row>15</xdr:row>
      <xdr:rowOff>85603</xdr:rowOff>
    </xdr:from>
    <xdr:to>
      <xdr:col>11</xdr:col>
      <xdr:colOff>1239471</xdr:colOff>
      <xdr:row>16</xdr:row>
      <xdr:rowOff>146205</xdr:rowOff>
    </xdr:to>
    <xdr:sp macro="" textlink="">
      <xdr:nvSpPr>
        <xdr:cNvPr id="21" name="Rectangle 20">
          <a:extLst>
            <a:ext uri="{FF2B5EF4-FFF2-40B4-BE49-F238E27FC236}">
              <a16:creationId xmlns:a16="http://schemas.microsoft.com/office/drawing/2014/main" id="{67863F0C-F061-CDB3-3BC5-3119859D7AD7}"/>
            </a:ext>
          </a:extLst>
        </xdr:cNvPr>
        <xdr:cNvSpPr/>
      </xdr:nvSpPr>
      <xdr:spPr>
        <a:xfrm>
          <a:off x="12739292" y="2969319"/>
          <a:ext cx="1782748" cy="2528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Discount Wise Sale</a:t>
          </a:r>
        </a:p>
      </xdr:txBody>
    </xdr:sp>
    <xdr:clientData/>
  </xdr:twoCellAnchor>
  <xdr:twoCellAnchor>
    <xdr:from>
      <xdr:col>1</xdr:col>
      <xdr:colOff>35718</xdr:colOff>
      <xdr:row>22</xdr:row>
      <xdr:rowOff>54119</xdr:rowOff>
    </xdr:from>
    <xdr:to>
      <xdr:col>2</xdr:col>
      <xdr:colOff>86592</xdr:colOff>
      <xdr:row>29</xdr:row>
      <xdr:rowOff>88969</xdr:rowOff>
    </xdr:to>
    <xdr:graphicFrame macro="">
      <xdr:nvGraphicFramePr>
        <xdr:cNvPr id="23" name="Chart 22">
          <a:extLst>
            <a:ext uri="{FF2B5EF4-FFF2-40B4-BE49-F238E27FC236}">
              <a16:creationId xmlns:a16="http://schemas.microsoft.com/office/drawing/2014/main" id="{1CBD5BF6-DDF7-7381-CF8B-4BA5F45CF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24894</xdr:colOff>
      <xdr:row>16</xdr:row>
      <xdr:rowOff>140709</xdr:rowOff>
    </xdr:from>
    <xdr:to>
      <xdr:col>5</xdr:col>
      <xdr:colOff>422131</xdr:colOff>
      <xdr:row>24</xdr:row>
      <xdr:rowOff>164738</xdr:rowOff>
    </xdr:to>
    <xdr:graphicFrame macro="">
      <xdr:nvGraphicFramePr>
        <xdr:cNvPr id="24" name="Chart 23">
          <a:extLst>
            <a:ext uri="{FF2B5EF4-FFF2-40B4-BE49-F238E27FC236}">
              <a16:creationId xmlns:a16="http://schemas.microsoft.com/office/drawing/2014/main" id="{21D4A8F1-6510-8C6F-BCAA-E0743F03B3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614362</xdr:colOff>
      <xdr:row>9</xdr:row>
      <xdr:rowOff>171450</xdr:rowOff>
    </xdr:from>
    <xdr:to>
      <xdr:col>2</xdr:col>
      <xdr:colOff>457200</xdr:colOff>
      <xdr:row>20</xdr:row>
      <xdr:rowOff>161924</xdr:rowOff>
    </xdr:to>
    <xdr:graphicFrame macro="">
      <xdr:nvGraphicFramePr>
        <xdr:cNvPr id="15" name="Chart 14">
          <a:extLst>
            <a:ext uri="{FF2B5EF4-FFF2-40B4-BE49-F238E27FC236}">
              <a16:creationId xmlns:a16="http://schemas.microsoft.com/office/drawing/2014/main" id="{C3A3CCEF-AEE8-C062-CBD2-40DEA6BBA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604837</xdr:colOff>
      <xdr:row>0</xdr:row>
      <xdr:rowOff>0</xdr:rowOff>
    </xdr:from>
    <xdr:to>
      <xdr:col>12</xdr:col>
      <xdr:colOff>257175</xdr:colOff>
      <xdr:row>9</xdr:row>
      <xdr:rowOff>9525</xdr:rowOff>
    </xdr:to>
    <xdr:graphicFrame macro="">
      <xdr:nvGraphicFramePr>
        <xdr:cNvPr id="16" name="Chart 15">
          <a:extLst>
            <a:ext uri="{FF2B5EF4-FFF2-40B4-BE49-F238E27FC236}">
              <a16:creationId xmlns:a16="http://schemas.microsoft.com/office/drawing/2014/main" id="{F90FC8C7-7DF2-4046-91DB-FD2000EB5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38100</xdr:rowOff>
    </xdr:from>
    <xdr:to>
      <xdr:col>20</xdr:col>
      <xdr:colOff>171450</xdr:colOff>
      <xdr:row>28</xdr:row>
      <xdr:rowOff>123825</xdr:rowOff>
    </xdr:to>
    <xdr:sp macro="" textlink="">
      <xdr:nvSpPr>
        <xdr:cNvPr id="2" name="Rectangle 1">
          <a:extLst>
            <a:ext uri="{FF2B5EF4-FFF2-40B4-BE49-F238E27FC236}">
              <a16:creationId xmlns:a16="http://schemas.microsoft.com/office/drawing/2014/main" id="{EADFEAD1-C51D-769A-93DA-7DF2DC123934}"/>
            </a:ext>
          </a:extLst>
        </xdr:cNvPr>
        <xdr:cNvSpPr/>
      </xdr:nvSpPr>
      <xdr:spPr>
        <a:xfrm>
          <a:off x="0" y="38100"/>
          <a:ext cx="12363450" cy="5419725"/>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0</xdr:row>
      <xdr:rowOff>133350</xdr:rowOff>
    </xdr:from>
    <xdr:to>
      <xdr:col>19</xdr:col>
      <xdr:colOff>495300</xdr:colOff>
      <xdr:row>3</xdr:row>
      <xdr:rowOff>28575</xdr:rowOff>
    </xdr:to>
    <xdr:sp macro="" textlink="">
      <xdr:nvSpPr>
        <xdr:cNvPr id="3" name="Rectangle 2">
          <a:extLst>
            <a:ext uri="{FF2B5EF4-FFF2-40B4-BE49-F238E27FC236}">
              <a16:creationId xmlns:a16="http://schemas.microsoft.com/office/drawing/2014/main" id="{B48D968B-2A40-2D72-E512-F1567D5443CB}"/>
            </a:ext>
          </a:extLst>
        </xdr:cNvPr>
        <xdr:cNvSpPr/>
      </xdr:nvSpPr>
      <xdr:spPr>
        <a:xfrm>
          <a:off x="171450" y="133350"/>
          <a:ext cx="11906250" cy="466725"/>
        </a:xfrm>
        <a:prstGeom prst="rect">
          <a:avLst/>
        </a:prstGeom>
        <a:noFill/>
        <a:ln w="952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161925</xdr:colOff>
      <xdr:row>0</xdr:row>
      <xdr:rowOff>123824</xdr:rowOff>
    </xdr:from>
    <xdr:to>
      <xdr:col>19</xdr:col>
      <xdr:colOff>504825</xdr:colOff>
      <xdr:row>3</xdr:row>
      <xdr:rowOff>19049</xdr:rowOff>
    </xdr:to>
    <xdr:sp macro="" textlink="">
      <xdr:nvSpPr>
        <xdr:cNvPr id="4" name="TextBox 3">
          <a:extLst>
            <a:ext uri="{FF2B5EF4-FFF2-40B4-BE49-F238E27FC236}">
              <a16:creationId xmlns:a16="http://schemas.microsoft.com/office/drawing/2014/main" id="{2DA49BAF-9CF6-5143-1BB7-1BCBB81B8D42}"/>
            </a:ext>
          </a:extLst>
        </xdr:cNvPr>
        <xdr:cNvSpPr txBox="1"/>
      </xdr:nvSpPr>
      <xdr:spPr>
        <a:xfrm>
          <a:off x="161925" y="123824"/>
          <a:ext cx="119253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latin typeface="Aptos Narrow" panose="020B0004020202020204" pitchFamily="34" charset="0"/>
            </a:rPr>
            <a:t>Customer</a:t>
          </a:r>
          <a:r>
            <a:rPr lang="en-US" sz="2000" b="1" baseline="0">
              <a:solidFill>
                <a:schemeClr val="bg1"/>
              </a:solidFill>
              <a:latin typeface="Aptos Narrow" panose="020B0004020202020204" pitchFamily="34" charset="0"/>
            </a:rPr>
            <a:t> Behavior Analysis Dashboard</a:t>
          </a:r>
          <a:endParaRPr lang="en-US" sz="2000" b="1">
            <a:solidFill>
              <a:schemeClr val="bg1"/>
            </a:solidFill>
            <a:latin typeface="Aptos Narrow" panose="020B0004020202020204" pitchFamily="34" charset="0"/>
          </a:endParaRPr>
        </a:p>
      </xdr:txBody>
    </xdr:sp>
    <xdr:clientData/>
  </xdr:twoCellAnchor>
  <xdr:twoCellAnchor editAs="oneCell">
    <xdr:from>
      <xdr:col>0</xdr:col>
      <xdr:colOff>171449</xdr:colOff>
      <xdr:row>3</xdr:row>
      <xdr:rowOff>114301</xdr:rowOff>
    </xdr:from>
    <xdr:to>
      <xdr:col>8</xdr:col>
      <xdr:colOff>447674</xdr:colOff>
      <xdr:row>5</xdr:row>
      <xdr:rowOff>133351</xdr:rowOff>
    </xdr:to>
    <mc:AlternateContent xmlns:mc="http://schemas.openxmlformats.org/markup-compatibility/2006" xmlns:a14="http://schemas.microsoft.com/office/drawing/2010/main">
      <mc:Choice Requires="a14">
        <xdr:graphicFrame macro="">
          <xdr:nvGraphicFramePr>
            <xdr:cNvPr id="5" name="Product_Category 1">
              <a:extLst>
                <a:ext uri="{FF2B5EF4-FFF2-40B4-BE49-F238E27FC236}">
                  <a16:creationId xmlns:a16="http://schemas.microsoft.com/office/drawing/2014/main" id="{FE439681-B9F5-46BF-BF97-931FA38D2C2C}"/>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71449" y="685801"/>
              <a:ext cx="5153025" cy="400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514350</xdr:colOff>
      <xdr:row>3</xdr:row>
      <xdr:rowOff>114300</xdr:rowOff>
    </xdr:from>
    <xdr:to>
      <xdr:col>19</xdr:col>
      <xdr:colOff>523875</xdr:colOff>
      <xdr:row>5</xdr:row>
      <xdr:rowOff>142875</xdr:rowOff>
    </xdr:to>
    <mc:AlternateContent xmlns:mc="http://schemas.openxmlformats.org/markup-compatibility/2006" xmlns:a14="http://schemas.microsoft.com/office/drawing/2010/main">
      <mc:Choice Requires="a14">
        <xdr:graphicFrame macro="">
          <xdr:nvGraphicFramePr>
            <xdr:cNvPr id="6" name="City 1">
              <a:extLst>
                <a:ext uri="{FF2B5EF4-FFF2-40B4-BE49-F238E27FC236}">
                  <a16:creationId xmlns:a16="http://schemas.microsoft.com/office/drawing/2014/main" id="{B84F7F3E-73DA-44D0-820B-42E904E6710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391150" y="685800"/>
              <a:ext cx="6715125" cy="409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6</xdr:row>
      <xdr:rowOff>66675</xdr:rowOff>
    </xdr:from>
    <xdr:to>
      <xdr:col>19</xdr:col>
      <xdr:colOff>495300</xdr:colOff>
      <xdr:row>11</xdr:row>
      <xdr:rowOff>76200</xdr:rowOff>
    </xdr:to>
    <xdr:sp macro="" textlink="">
      <xdr:nvSpPr>
        <xdr:cNvPr id="13" name="Rectangle 12">
          <a:extLst>
            <a:ext uri="{FF2B5EF4-FFF2-40B4-BE49-F238E27FC236}">
              <a16:creationId xmlns:a16="http://schemas.microsoft.com/office/drawing/2014/main" id="{A11D237F-CBB0-F5F4-B5AD-D881208557A6}"/>
            </a:ext>
          </a:extLst>
        </xdr:cNvPr>
        <xdr:cNvSpPr/>
      </xdr:nvSpPr>
      <xdr:spPr>
        <a:xfrm>
          <a:off x="171450" y="1209675"/>
          <a:ext cx="11906250" cy="962025"/>
        </a:xfrm>
        <a:prstGeom prst="rect">
          <a:avLst/>
        </a:prstGeom>
        <a:noFill/>
        <a:ln w="952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361951</xdr:colOff>
      <xdr:row>7</xdr:row>
      <xdr:rowOff>28575</xdr:rowOff>
    </xdr:from>
    <xdr:to>
      <xdr:col>4</xdr:col>
      <xdr:colOff>381001</xdr:colOff>
      <xdr:row>10</xdr:row>
      <xdr:rowOff>95250</xdr:rowOff>
    </xdr:to>
    <xdr:sp macro="" textlink="">
      <xdr:nvSpPr>
        <xdr:cNvPr id="14" name="Rectangle 13">
          <a:extLst>
            <a:ext uri="{FF2B5EF4-FFF2-40B4-BE49-F238E27FC236}">
              <a16:creationId xmlns:a16="http://schemas.microsoft.com/office/drawing/2014/main" id="{FE8E46E1-8B84-5EF3-B4D5-4DD152A921C5}"/>
            </a:ext>
          </a:extLst>
        </xdr:cNvPr>
        <xdr:cNvSpPr/>
      </xdr:nvSpPr>
      <xdr:spPr>
        <a:xfrm>
          <a:off x="361951" y="1362075"/>
          <a:ext cx="2457450" cy="638175"/>
        </a:xfrm>
        <a:prstGeom prst="rect">
          <a:avLst/>
        </a:prstGeom>
        <a:solidFill>
          <a:schemeClr val="accent3">
            <a:lumMod val="75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solidFill>
                <a:schemeClr val="lt1"/>
              </a:solidFill>
              <a:effectLst/>
              <a:latin typeface="Aptos Narrow" panose="020B0004020202020204" pitchFamily="34" charset="0"/>
              <a:ea typeface="+mn-ea"/>
              <a:cs typeface="+mn-cs"/>
            </a:rPr>
            <a:t>Total Revenue</a:t>
          </a:r>
          <a:endParaRPr lang="en-US" sz="1800" b="1">
            <a:effectLst/>
            <a:latin typeface="Aptos Narrow" panose="020B0004020202020204" pitchFamily="34" charset="0"/>
          </a:endParaRPr>
        </a:p>
      </xdr:txBody>
    </xdr:sp>
    <xdr:clientData/>
  </xdr:twoCellAnchor>
  <xdr:twoCellAnchor>
    <xdr:from>
      <xdr:col>0</xdr:col>
      <xdr:colOff>371475</xdr:colOff>
      <xdr:row>8</xdr:row>
      <xdr:rowOff>76200</xdr:rowOff>
    </xdr:from>
    <xdr:to>
      <xdr:col>2</xdr:col>
      <xdr:colOff>504825</xdr:colOff>
      <xdr:row>10</xdr:row>
      <xdr:rowOff>38100</xdr:rowOff>
    </xdr:to>
    <xdr:sp macro="" textlink="Povit!$B$4">
      <xdr:nvSpPr>
        <xdr:cNvPr id="15" name="Rectangle: Rounded Corners 14">
          <a:extLst>
            <a:ext uri="{FF2B5EF4-FFF2-40B4-BE49-F238E27FC236}">
              <a16:creationId xmlns:a16="http://schemas.microsoft.com/office/drawing/2014/main" id="{A4EFB075-CFC3-47D8-B2EB-7D08C28F84A5}"/>
            </a:ext>
          </a:extLst>
        </xdr:cNvPr>
        <xdr:cNvSpPr/>
      </xdr:nvSpPr>
      <xdr:spPr>
        <a:xfrm>
          <a:off x="371475" y="1600200"/>
          <a:ext cx="1352550" cy="3429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56F6300-8BA5-499C-8B3E-3022123C728F}" type="TxLink">
            <a:rPr lang="en-US" sz="1800" b="1" i="0" u="none" strike="noStrike">
              <a:solidFill>
                <a:schemeClr val="bg1"/>
              </a:solidFill>
              <a:latin typeface="Calibri"/>
              <a:cs typeface="Calibri"/>
            </a:rPr>
            <a:pPr algn="l"/>
            <a:t>428897.78</a:t>
          </a:fld>
          <a:endParaRPr lang="en-US" sz="1800" b="1">
            <a:solidFill>
              <a:schemeClr val="bg1"/>
            </a:solidFill>
          </a:endParaRPr>
        </a:p>
      </xdr:txBody>
    </xdr:sp>
    <xdr:clientData/>
  </xdr:twoCellAnchor>
  <xdr:twoCellAnchor>
    <xdr:from>
      <xdr:col>11</xdr:col>
      <xdr:colOff>367393</xdr:colOff>
      <xdr:row>7</xdr:row>
      <xdr:rowOff>36285</xdr:rowOff>
    </xdr:from>
    <xdr:to>
      <xdr:col>15</xdr:col>
      <xdr:colOff>299609</xdr:colOff>
      <xdr:row>10</xdr:row>
      <xdr:rowOff>102960</xdr:rowOff>
    </xdr:to>
    <xdr:sp macro="" textlink="">
      <xdr:nvSpPr>
        <xdr:cNvPr id="17" name="Rectangle 16">
          <a:extLst>
            <a:ext uri="{FF2B5EF4-FFF2-40B4-BE49-F238E27FC236}">
              <a16:creationId xmlns:a16="http://schemas.microsoft.com/office/drawing/2014/main" id="{BDD53615-B8FA-1600-5791-910DCE6B621E}"/>
            </a:ext>
          </a:extLst>
        </xdr:cNvPr>
        <xdr:cNvSpPr/>
      </xdr:nvSpPr>
      <xdr:spPr>
        <a:xfrm>
          <a:off x="7072993" y="1369785"/>
          <a:ext cx="2370616" cy="638175"/>
        </a:xfrm>
        <a:prstGeom prst="rect">
          <a:avLst/>
        </a:prstGeom>
        <a:solidFill>
          <a:schemeClr val="accent3">
            <a:lumMod val="75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r>
            <a:rPr lang="en-US" sz="1800" b="1">
              <a:solidFill>
                <a:schemeClr val="lt1"/>
              </a:solidFill>
              <a:effectLst/>
              <a:latin typeface="Aptos Narrow" panose="020B0004020202020204" pitchFamily="34" charset="0"/>
              <a:ea typeface="+mn-ea"/>
              <a:cs typeface="+mn-cs"/>
            </a:rPr>
            <a:t>Satisfaction Ratio</a:t>
          </a:r>
        </a:p>
      </xdr:txBody>
    </xdr:sp>
    <xdr:clientData/>
  </xdr:twoCellAnchor>
  <xdr:twoCellAnchor>
    <xdr:from>
      <xdr:col>6</xdr:col>
      <xdr:colOff>419100</xdr:colOff>
      <xdr:row>8</xdr:row>
      <xdr:rowOff>85725</xdr:rowOff>
    </xdr:from>
    <xdr:to>
      <xdr:col>8</xdr:col>
      <xdr:colOff>552450</xdr:colOff>
      <xdr:row>10</xdr:row>
      <xdr:rowOff>47625</xdr:rowOff>
    </xdr:to>
    <xdr:sp macro="" textlink="Povit!$B$8">
      <xdr:nvSpPr>
        <xdr:cNvPr id="22" name="Rectangle: Rounded Corners 21">
          <a:extLst>
            <a:ext uri="{FF2B5EF4-FFF2-40B4-BE49-F238E27FC236}">
              <a16:creationId xmlns:a16="http://schemas.microsoft.com/office/drawing/2014/main" id="{CF5FAB99-758A-4F8A-89F1-1C159BA86FC4}"/>
            </a:ext>
          </a:extLst>
        </xdr:cNvPr>
        <xdr:cNvSpPr/>
      </xdr:nvSpPr>
      <xdr:spPr>
        <a:xfrm>
          <a:off x="4076700" y="1609725"/>
          <a:ext cx="1352550" cy="3429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9583C4D0-0404-4489-8165-C83B2846E67D}" type="TxLink">
            <a:rPr lang="en-US" sz="1800" b="1" i="0" u="none" strike="noStrike">
              <a:solidFill>
                <a:schemeClr val="bg1"/>
              </a:solidFill>
              <a:latin typeface="Calibri"/>
              <a:ea typeface="+mn-ea"/>
              <a:cs typeface="Calibri"/>
            </a:rPr>
            <a:pPr marL="0" indent="0" algn="l"/>
            <a:t> </a:t>
          </a:fld>
          <a:endParaRPr lang="en-US" sz="1800" b="1" i="0" u="none" strike="noStrike">
            <a:solidFill>
              <a:schemeClr val="bg1"/>
            </a:solidFill>
            <a:latin typeface="Calibri"/>
            <a:ea typeface="+mn-ea"/>
            <a:cs typeface="Calibri"/>
          </a:endParaRPr>
        </a:p>
      </xdr:txBody>
    </xdr:sp>
    <xdr:clientData/>
  </xdr:twoCellAnchor>
  <xdr:twoCellAnchor>
    <xdr:from>
      <xdr:col>11</xdr:col>
      <xdr:colOff>395968</xdr:colOff>
      <xdr:row>8</xdr:row>
      <xdr:rowOff>83910</xdr:rowOff>
    </xdr:from>
    <xdr:to>
      <xdr:col>13</xdr:col>
      <xdr:colOff>526596</xdr:colOff>
      <xdr:row>10</xdr:row>
      <xdr:rowOff>45810</xdr:rowOff>
    </xdr:to>
    <xdr:sp macro="" textlink="Povit!$F$11">
      <xdr:nvSpPr>
        <xdr:cNvPr id="23" name="Rectangle: Rounded Corners 22">
          <a:extLst>
            <a:ext uri="{FF2B5EF4-FFF2-40B4-BE49-F238E27FC236}">
              <a16:creationId xmlns:a16="http://schemas.microsoft.com/office/drawing/2014/main" id="{AF9BDDCA-91EB-4F60-9FEF-6CEA0B64C1AB}"/>
            </a:ext>
          </a:extLst>
        </xdr:cNvPr>
        <xdr:cNvSpPr/>
      </xdr:nvSpPr>
      <xdr:spPr>
        <a:xfrm>
          <a:off x="7101568" y="1607910"/>
          <a:ext cx="1349828" cy="3429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CBCECB4D-6367-48AC-A99A-1A2F6D4CC3A3}" type="TxLink">
            <a:rPr lang="en-US" sz="1800" b="1" i="0" u="none" strike="noStrike">
              <a:solidFill>
                <a:schemeClr val="bg1"/>
              </a:solidFill>
              <a:latin typeface="Calibri"/>
              <a:ea typeface="+mn-ea"/>
              <a:cs typeface="Calibri"/>
            </a:rPr>
            <a:pPr marL="0" indent="0" algn="l"/>
            <a:t>2.74</a:t>
          </a:fld>
          <a:endParaRPr lang="en-US" sz="1800" b="1" i="0" u="none" strike="noStrike">
            <a:solidFill>
              <a:schemeClr val="bg1"/>
            </a:solidFill>
            <a:latin typeface="Calibri"/>
            <a:ea typeface="+mn-ea"/>
            <a:cs typeface="Calibri"/>
          </a:endParaRPr>
        </a:p>
      </xdr:txBody>
    </xdr:sp>
    <xdr:clientData/>
  </xdr:twoCellAnchor>
  <xdr:twoCellAnchor>
    <xdr:from>
      <xdr:col>3</xdr:col>
      <xdr:colOff>209550</xdr:colOff>
      <xdr:row>5</xdr:row>
      <xdr:rowOff>180975</xdr:rowOff>
    </xdr:from>
    <xdr:to>
      <xdr:col>5</xdr:col>
      <xdr:colOff>200025</xdr:colOff>
      <xdr:row>11</xdr:row>
      <xdr:rowOff>161925</xdr:rowOff>
    </xdr:to>
    <xdr:graphicFrame macro="">
      <xdr:nvGraphicFramePr>
        <xdr:cNvPr id="25" name="Chart 24">
          <a:extLst>
            <a:ext uri="{FF2B5EF4-FFF2-40B4-BE49-F238E27FC236}">
              <a16:creationId xmlns:a16="http://schemas.microsoft.com/office/drawing/2014/main" id="{771A292F-D4BD-464B-85C3-EF71FE5D3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88901</xdr:colOff>
      <xdr:row>7</xdr:row>
      <xdr:rowOff>50800</xdr:rowOff>
    </xdr:from>
    <xdr:to>
      <xdr:col>10</xdr:col>
      <xdr:colOff>107951</xdr:colOff>
      <xdr:row>10</xdr:row>
      <xdr:rowOff>117475</xdr:rowOff>
    </xdr:to>
    <xdr:sp macro="" textlink="">
      <xdr:nvSpPr>
        <xdr:cNvPr id="28" name="Rectangle 27">
          <a:extLst>
            <a:ext uri="{FF2B5EF4-FFF2-40B4-BE49-F238E27FC236}">
              <a16:creationId xmlns:a16="http://schemas.microsoft.com/office/drawing/2014/main" id="{5E94CE68-75C7-45F0-BE15-AB5F2F422C8B}"/>
            </a:ext>
          </a:extLst>
        </xdr:cNvPr>
        <xdr:cNvSpPr/>
      </xdr:nvSpPr>
      <xdr:spPr>
        <a:xfrm>
          <a:off x="3746501" y="1384300"/>
          <a:ext cx="2457450" cy="638175"/>
        </a:xfrm>
        <a:prstGeom prst="rect">
          <a:avLst/>
        </a:prstGeom>
        <a:solidFill>
          <a:schemeClr val="accent3">
            <a:lumMod val="75000"/>
          </a:schemeClr>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b="1">
              <a:solidFill>
                <a:schemeClr val="lt1"/>
              </a:solidFill>
              <a:effectLst/>
              <a:latin typeface="Aptos Narrow" panose="020B0004020202020204" pitchFamily="34" charset="0"/>
              <a:ea typeface="+mn-ea"/>
              <a:cs typeface="+mn-cs"/>
            </a:rPr>
            <a:t>Total Customers</a:t>
          </a:r>
          <a:endParaRPr lang="en-US" sz="1800" b="1">
            <a:effectLst/>
            <a:latin typeface="Aptos Narrow" panose="020B0004020202020204" pitchFamily="34" charset="0"/>
          </a:endParaRPr>
        </a:p>
      </xdr:txBody>
    </xdr:sp>
    <xdr:clientData/>
  </xdr:twoCellAnchor>
  <xdr:twoCellAnchor>
    <xdr:from>
      <xdr:col>6</xdr:col>
      <xdr:colOff>98425</xdr:colOff>
      <xdr:row>8</xdr:row>
      <xdr:rowOff>98425</xdr:rowOff>
    </xdr:from>
    <xdr:to>
      <xdr:col>8</xdr:col>
      <xdr:colOff>231775</xdr:colOff>
      <xdr:row>10</xdr:row>
      <xdr:rowOff>60325</xdr:rowOff>
    </xdr:to>
    <xdr:sp macro="" textlink="Povit!$B$35">
      <xdr:nvSpPr>
        <xdr:cNvPr id="29" name="Rectangle: Rounded Corners 28">
          <a:extLst>
            <a:ext uri="{FF2B5EF4-FFF2-40B4-BE49-F238E27FC236}">
              <a16:creationId xmlns:a16="http://schemas.microsoft.com/office/drawing/2014/main" id="{64F5F191-915C-4CBD-9E31-197D902E500D}"/>
            </a:ext>
          </a:extLst>
        </xdr:cNvPr>
        <xdr:cNvSpPr/>
      </xdr:nvSpPr>
      <xdr:spPr>
        <a:xfrm>
          <a:off x="3756025" y="1622425"/>
          <a:ext cx="1352550" cy="34290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39AA4217-2734-4CFF-A282-95804CF00BF5}" type="TxLink">
            <a:rPr lang="en-US" sz="1800" b="1" i="0" u="none" strike="noStrike">
              <a:solidFill>
                <a:schemeClr val="bg1"/>
              </a:solidFill>
              <a:latin typeface="Calibri"/>
              <a:ea typeface="+mn-ea"/>
              <a:cs typeface="Calibri"/>
            </a:rPr>
            <a:pPr marL="0" indent="0" algn="l"/>
            <a:t>31</a:t>
          </a:fld>
          <a:endParaRPr lang="en-US" sz="1800" b="1" i="0" u="none" strike="noStrike">
            <a:solidFill>
              <a:schemeClr val="bg1"/>
            </a:solidFill>
            <a:latin typeface="Calibri"/>
            <a:ea typeface="+mn-ea"/>
            <a:cs typeface="Calibri"/>
          </a:endParaRPr>
        </a:p>
      </xdr:txBody>
    </xdr:sp>
    <xdr:clientData/>
  </xdr:twoCellAnchor>
  <xdr:twoCellAnchor>
    <xdr:from>
      <xdr:col>8</xdr:col>
      <xdr:colOff>548061</xdr:colOff>
      <xdr:row>5</xdr:row>
      <xdr:rowOff>146610</xdr:rowOff>
    </xdr:from>
    <xdr:to>
      <xdr:col>10</xdr:col>
      <xdr:colOff>452811</xdr:colOff>
      <xdr:row>11</xdr:row>
      <xdr:rowOff>183309</xdr:rowOff>
    </xdr:to>
    <xdr:graphicFrame macro="">
      <xdr:nvGraphicFramePr>
        <xdr:cNvPr id="30" name="Chart 29">
          <a:extLst>
            <a:ext uri="{FF2B5EF4-FFF2-40B4-BE49-F238E27FC236}">
              <a16:creationId xmlns:a16="http://schemas.microsoft.com/office/drawing/2014/main" id="{1C73DF55-96A6-4761-80A1-08BA12749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277458</xdr:colOff>
      <xdr:row>6</xdr:row>
      <xdr:rowOff>9258</xdr:rowOff>
    </xdr:from>
    <xdr:to>
      <xdr:col>16</xdr:col>
      <xdr:colOff>277458</xdr:colOff>
      <xdr:row>11</xdr:row>
      <xdr:rowOff>164316</xdr:rowOff>
    </xdr:to>
    <xdr:graphicFrame macro="">
      <xdr:nvGraphicFramePr>
        <xdr:cNvPr id="31" name="Chart 30">
          <a:extLst>
            <a:ext uri="{FF2B5EF4-FFF2-40B4-BE49-F238E27FC236}">
              <a16:creationId xmlns:a16="http://schemas.microsoft.com/office/drawing/2014/main" id="{489A6AC6-EEFF-4F9B-9E03-6F766144B1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552451</xdr:colOff>
      <xdr:row>14</xdr:row>
      <xdr:rowOff>57150</xdr:rowOff>
    </xdr:from>
    <xdr:to>
      <xdr:col>19</xdr:col>
      <xdr:colOff>476251</xdr:colOff>
      <xdr:row>26</xdr:row>
      <xdr:rowOff>60122</xdr:rowOff>
    </xdr:to>
    <xdr:graphicFrame macro="">
      <xdr:nvGraphicFramePr>
        <xdr:cNvPr id="32" name="Chart 31">
          <a:extLst>
            <a:ext uri="{FF2B5EF4-FFF2-40B4-BE49-F238E27FC236}">
              <a16:creationId xmlns:a16="http://schemas.microsoft.com/office/drawing/2014/main" id="{84B70F98-9E62-41B4-A321-A756C0B03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504825</xdr:colOff>
      <xdr:row>11</xdr:row>
      <xdr:rowOff>152401</xdr:rowOff>
    </xdr:from>
    <xdr:to>
      <xdr:col>19</xdr:col>
      <xdr:colOff>504825</xdr:colOff>
      <xdr:row>26</xdr:row>
      <xdr:rowOff>47625</xdr:rowOff>
    </xdr:to>
    <xdr:sp macro="" textlink="">
      <xdr:nvSpPr>
        <xdr:cNvPr id="33" name="Rectangle 32">
          <a:extLst>
            <a:ext uri="{FF2B5EF4-FFF2-40B4-BE49-F238E27FC236}">
              <a16:creationId xmlns:a16="http://schemas.microsoft.com/office/drawing/2014/main" id="{45D7B304-7DAC-496A-9E72-750952917F24}"/>
            </a:ext>
          </a:extLst>
        </xdr:cNvPr>
        <xdr:cNvSpPr/>
      </xdr:nvSpPr>
      <xdr:spPr>
        <a:xfrm>
          <a:off x="7210425" y="2247901"/>
          <a:ext cx="4876800" cy="2752724"/>
        </a:xfrm>
        <a:prstGeom prst="rect">
          <a:avLst/>
        </a:prstGeom>
        <a:noFill/>
        <a:ln w="952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0</xdr:colOff>
      <xdr:row>12</xdr:row>
      <xdr:rowOff>0</xdr:rowOff>
    </xdr:from>
    <xdr:to>
      <xdr:col>16</xdr:col>
      <xdr:colOff>257175</xdr:colOff>
      <xdr:row>14</xdr:row>
      <xdr:rowOff>28574</xdr:rowOff>
    </xdr:to>
    <xdr:sp macro="" textlink="">
      <xdr:nvSpPr>
        <xdr:cNvPr id="34" name="TextBox 33">
          <a:extLst>
            <a:ext uri="{FF2B5EF4-FFF2-40B4-BE49-F238E27FC236}">
              <a16:creationId xmlns:a16="http://schemas.microsoft.com/office/drawing/2014/main" id="{59A40726-1364-ED50-5C95-BF1EDDD14375}"/>
            </a:ext>
          </a:extLst>
        </xdr:cNvPr>
        <xdr:cNvSpPr txBox="1"/>
      </xdr:nvSpPr>
      <xdr:spPr>
        <a:xfrm>
          <a:off x="7315200" y="2286000"/>
          <a:ext cx="2695575" cy="40957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800" b="1" i="0" u="none" strike="noStrike">
              <a:solidFill>
                <a:schemeClr val="bg1"/>
              </a:solidFill>
              <a:latin typeface="Calibri"/>
              <a:ea typeface="+mn-ea"/>
              <a:cs typeface="Calibri"/>
            </a:rPr>
            <a:t>Date Wise Sale Chart</a:t>
          </a:r>
        </a:p>
      </xdr:txBody>
    </xdr:sp>
    <xdr:clientData/>
  </xdr:twoCellAnchor>
  <xdr:twoCellAnchor>
    <xdr:from>
      <xdr:col>0</xdr:col>
      <xdr:colOff>161925</xdr:colOff>
      <xdr:row>11</xdr:row>
      <xdr:rowOff>152400</xdr:rowOff>
    </xdr:from>
    <xdr:to>
      <xdr:col>5</xdr:col>
      <xdr:colOff>276225</xdr:colOff>
      <xdr:row>26</xdr:row>
      <xdr:rowOff>47624</xdr:rowOff>
    </xdr:to>
    <xdr:sp macro="" textlink="">
      <xdr:nvSpPr>
        <xdr:cNvPr id="37" name="Rectangle 36">
          <a:extLst>
            <a:ext uri="{FF2B5EF4-FFF2-40B4-BE49-F238E27FC236}">
              <a16:creationId xmlns:a16="http://schemas.microsoft.com/office/drawing/2014/main" id="{17D6CE93-D25B-4C67-9306-4BCF4BBDB470}"/>
            </a:ext>
          </a:extLst>
        </xdr:cNvPr>
        <xdr:cNvSpPr/>
      </xdr:nvSpPr>
      <xdr:spPr>
        <a:xfrm>
          <a:off x="161925" y="2247900"/>
          <a:ext cx="3162300" cy="2752724"/>
        </a:xfrm>
        <a:prstGeom prst="rect">
          <a:avLst/>
        </a:prstGeom>
        <a:noFill/>
        <a:ln w="952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342900</xdr:colOff>
      <xdr:row>11</xdr:row>
      <xdr:rowOff>161925</xdr:rowOff>
    </xdr:from>
    <xdr:to>
      <xdr:col>11</xdr:col>
      <xdr:colOff>409575</xdr:colOff>
      <xdr:row>26</xdr:row>
      <xdr:rowOff>57149</xdr:rowOff>
    </xdr:to>
    <xdr:sp macro="" textlink="">
      <xdr:nvSpPr>
        <xdr:cNvPr id="42" name="Rectangle 41">
          <a:extLst>
            <a:ext uri="{FF2B5EF4-FFF2-40B4-BE49-F238E27FC236}">
              <a16:creationId xmlns:a16="http://schemas.microsoft.com/office/drawing/2014/main" id="{02566665-0A28-CE45-2C05-AD4598FD3072}"/>
            </a:ext>
          </a:extLst>
        </xdr:cNvPr>
        <xdr:cNvSpPr/>
      </xdr:nvSpPr>
      <xdr:spPr>
        <a:xfrm>
          <a:off x="3390900" y="2257425"/>
          <a:ext cx="3724275" cy="2752724"/>
        </a:xfrm>
        <a:prstGeom prst="rect">
          <a:avLst/>
        </a:prstGeom>
        <a:noFill/>
        <a:ln w="9525">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257175</xdr:colOff>
      <xdr:row>11</xdr:row>
      <xdr:rowOff>133350</xdr:rowOff>
    </xdr:from>
    <xdr:to>
      <xdr:col>5</xdr:col>
      <xdr:colOff>219075</xdr:colOff>
      <xdr:row>26</xdr:row>
      <xdr:rowOff>28575</xdr:rowOff>
    </xdr:to>
    <xdr:graphicFrame macro="">
      <xdr:nvGraphicFramePr>
        <xdr:cNvPr id="35" name="Chart 34">
          <a:extLst>
            <a:ext uri="{FF2B5EF4-FFF2-40B4-BE49-F238E27FC236}">
              <a16:creationId xmlns:a16="http://schemas.microsoft.com/office/drawing/2014/main" id="{25FECA21-B4CA-4606-987F-C48598629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428626</xdr:colOff>
      <xdr:row>12</xdr:row>
      <xdr:rowOff>142875</xdr:rowOff>
    </xdr:from>
    <xdr:to>
      <xdr:col>11</xdr:col>
      <xdr:colOff>371476</xdr:colOff>
      <xdr:row>25</xdr:row>
      <xdr:rowOff>171450</xdr:rowOff>
    </xdr:to>
    <xdr:graphicFrame macro="">
      <xdr:nvGraphicFramePr>
        <xdr:cNvPr id="36" name="Chart 35">
          <a:extLst>
            <a:ext uri="{FF2B5EF4-FFF2-40B4-BE49-F238E27FC236}">
              <a16:creationId xmlns:a16="http://schemas.microsoft.com/office/drawing/2014/main" id="{1C4B2E7F-FDA4-4387-8ECB-9B49C32F0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A1N" refreshedDate="46081.584242245372" createdVersion="8" refreshedVersion="8" minRefreshableVersion="3" recordCount="150" xr:uid="{24620BE7-C992-4F6A-877C-A181799A0AC7}">
  <cacheSource type="worksheet">
    <worksheetSource ref="A1:M151" sheet="Customer_Behavior_Data"/>
  </cacheSource>
  <cacheFields count="13">
    <cacheField name="Customer_ID" numFmtId="0">
      <sharedItems count="15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 v="C101"/>
        <s v="C102"/>
        <s v="C103"/>
        <s v="C104"/>
        <s v="C105"/>
        <s v="C106"/>
        <s v="C107"/>
        <s v="C108"/>
        <s v="C109"/>
        <s v="C110"/>
        <s v="C111"/>
        <s v="C112"/>
        <s v="C113"/>
        <s v="C114"/>
        <s v="C115"/>
        <s v="C116"/>
        <s v="C117"/>
        <s v="C118"/>
        <s v="C119"/>
        <s v="C120"/>
        <s v="C121"/>
        <s v="C122"/>
        <s v="C123"/>
        <s v="C124"/>
        <s v="C125"/>
        <s v="C126"/>
        <s v="C127"/>
        <s v="C128"/>
        <s v="C129"/>
        <s v="C130"/>
        <s v="C131"/>
        <s v="C132"/>
        <s v="C133"/>
        <s v="C134"/>
        <s v="C135"/>
        <s v="C136"/>
        <s v="C137"/>
        <s v="C138"/>
        <s v="C139"/>
        <s v="C140"/>
        <s v="C141"/>
        <s v="C142"/>
        <s v="C143"/>
        <s v="C144"/>
        <s v="C145"/>
        <s v="C146"/>
        <s v="C147"/>
        <s v="C148"/>
        <s v="C149"/>
        <s v="C150"/>
      </sharedItems>
    </cacheField>
    <cacheField name="Gender" numFmtId="0">
      <sharedItems count="2">
        <s v="Male"/>
        <s v="Female"/>
      </sharedItems>
    </cacheField>
    <cacheField name="Age" numFmtId="0">
      <sharedItems containsSemiMixedTypes="0" containsString="0" containsNumber="1" containsInteger="1" minValue="18" maxValue="60" count="41">
        <n v="19"/>
        <n v="55"/>
        <n v="42"/>
        <n v="45"/>
        <n v="49"/>
        <n v="44"/>
        <n v="24"/>
        <n v="22"/>
        <n v="29"/>
        <n v="21"/>
        <n v="52"/>
        <n v="47"/>
        <n v="38"/>
        <n v="43"/>
        <n v="51"/>
        <n v="32"/>
        <n v="18"/>
        <n v="37"/>
        <n v="34"/>
        <n v="56"/>
        <n v="60"/>
        <n v="53"/>
        <n v="28"/>
        <n v="57"/>
        <n v="31"/>
        <n v="20"/>
        <n v="59"/>
        <n v="40"/>
        <n v="46"/>
        <n v="25"/>
        <n v="54"/>
        <n v="39"/>
        <n v="48"/>
        <n v="30"/>
        <n v="35"/>
        <n v="23"/>
        <n v="41"/>
        <n v="33"/>
        <n v="50"/>
        <n v="26"/>
        <n v="36"/>
      </sharedItems>
    </cacheField>
    <cacheField name="City" numFmtId="0">
      <sharedItems count="5">
        <s v="Lahore"/>
        <s v="Faisalabad"/>
        <s v="Rawalpindi"/>
        <s v="Islamabad"/>
        <s v="Karachi"/>
      </sharedItems>
    </cacheField>
    <cacheField name="Membership_Type" numFmtId="0">
      <sharedItems count="3">
        <s v="Gold"/>
        <s v="Basic"/>
        <s v="Silver"/>
      </sharedItems>
    </cacheField>
    <cacheField name="Join_Date" numFmtId="0">
      <sharedItems/>
    </cacheField>
    <cacheField name="Purchase_Date" numFmtId="0">
      <sharedItems count="128">
        <s v="2024-06-09"/>
        <s v="2024-03-02"/>
        <s v="2024-09-07"/>
        <s v="2024-02-25"/>
        <s v="2024-04-17"/>
        <s v="2024-04-18"/>
        <s v="2024-07-10"/>
        <s v="2024-01-24"/>
        <s v="2024-03-17"/>
        <s v="2024-01-12"/>
        <s v="2024-08-17"/>
        <s v="2024-11-13"/>
        <s v="2024-11-10"/>
        <s v="2024-04-22"/>
        <s v="2024-06-16"/>
        <s v="2024-03-01"/>
        <s v="2024-09-06"/>
        <s v="2024-09-25"/>
        <s v="2024-06-12"/>
        <s v="2024-04-25"/>
        <s v="2024-08-14"/>
        <s v="2024-06-19"/>
        <s v="2024-11-21"/>
        <s v="2024-01-18"/>
        <s v="2024-08-22"/>
        <s v="2024-07-20"/>
        <s v="2024-12-07"/>
        <s v="2024-08-05"/>
        <s v="2024-01-21"/>
        <s v="2024-12-16"/>
        <s v="2024-05-26"/>
        <s v="2024-03-13"/>
        <s v="2024-01-31"/>
        <s v="2024-06-29"/>
        <s v="2024-12-19"/>
        <s v="2024-04-16"/>
        <s v="2024-11-18"/>
        <s v="2024-09-26"/>
        <s v="2024-12-31"/>
        <s v="2024-04-30"/>
        <s v="2024-05-02"/>
        <s v="2024-11-26"/>
        <s v="2024-12-12"/>
        <s v="2024-03-31"/>
        <s v="2024-10-13"/>
        <s v="2024-03-26"/>
        <s v="2024-12-25"/>
        <s v="2024-04-03"/>
        <s v="2024-10-20"/>
        <s v="2024-10-28"/>
        <s v="2024-11-01"/>
        <s v="2024-07-04"/>
        <s v="2024-11-07"/>
        <s v="2024-03-29"/>
        <s v="2024-03-05"/>
        <s v="2024-05-30"/>
        <s v="2024-08-23"/>
        <s v="2024-03-08"/>
        <s v="2024-04-21"/>
        <s v="2024-07-27"/>
        <s v="2024-04-02"/>
        <s v="2024-01-27"/>
        <s v="2024-02-07"/>
        <s v="2024-07-02"/>
        <s v="2024-12-01"/>
        <s v="2024-11-29"/>
        <s v="2024-09-17"/>
        <s v="2024-02-23"/>
        <s v="2024-03-15"/>
        <s v="2024-11-11"/>
        <s v="2024-12-04"/>
        <s v="2024-11-20"/>
        <s v="2024-09-08"/>
        <s v="2024-11-12"/>
        <s v="2024-02-02"/>
        <s v="2024-06-23"/>
        <s v="2024-02-24"/>
        <s v="2024-05-11"/>
        <s v="2024-06-14"/>
        <s v="2024-12-17"/>
        <s v="2024-06-06"/>
        <s v="2024-03-19"/>
        <s v="2024-09-19"/>
        <s v="2024-04-27"/>
        <s v="2024-05-20"/>
        <s v="2024-03-10"/>
        <s v="2024-02-04"/>
        <s v="2024-01-11"/>
        <s v="2024-12-05"/>
        <s v="2024-06-11"/>
        <s v="2024-09-15"/>
        <s v="2024-06-21"/>
        <s v="2024-02-29"/>
        <s v="2024-10-24"/>
        <s v="2024-04-09"/>
        <s v="2024-05-03"/>
        <s v="2024-05-15"/>
        <s v="2024-04-23"/>
        <s v="2024-06-17"/>
        <s v="2024-08-06"/>
        <s v="2024-12-13"/>
        <s v="2024-04-14"/>
        <s v="2024-11-17"/>
        <s v="2024-09-30"/>
        <s v="2024-07-31"/>
        <s v="2024-06-28"/>
        <s v="2024-02-11"/>
        <s v="2024-10-15"/>
        <s v="2024-01-28"/>
        <s v="2024-08-04"/>
        <s v="2024-04-20"/>
        <s v="2024-11-30"/>
        <s v="2024-02-15"/>
        <s v="2024-09-18"/>
        <s v="2024-09-12"/>
        <s v="2024-01-02"/>
        <s v="2024-03-12"/>
        <s v="2024-01-15"/>
        <s v="2024-12-20"/>
        <s v="2024-04-07"/>
        <s v="2024-10-08"/>
        <s v="2024-02-09"/>
        <s v="2024-12-21"/>
        <s v="2024-07-05"/>
        <s v="2024-12-26"/>
        <s v="2024-09-20"/>
        <s v="2024-05-16"/>
        <s v="2024-12-27"/>
      </sharedItems>
    </cacheField>
    <cacheField name="Product_Category" numFmtId="0">
      <sharedItems count="5">
        <s v="Clothing"/>
        <s v="Sports"/>
        <s v="Beauty"/>
        <s v="Electronics"/>
        <s v="Grocery"/>
      </sharedItems>
    </cacheField>
    <cacheField name="Purchase_Amount" numFmtId="164">
      <sharedItems containsSemiMixedTypes="0" containsString="0" containsNumber="1" minValue="1572.45" maxValue="79927.05"/>
    </cacheField>
    <cacheField name="Payment_Method" numFmtId="0">
      <sharedItems count="3">
        <s v="Card"/>
        <s v="Online"/>
        <s v="Cash"/>
      </sharedItems>
    </cacheField>
    <cacheField name="Discount_Applied" numFmtId="0">
      <sharedItems count="2">
        <s v="No"/>
        <s v="Yes"/>
      </sharedItems>
    </cacheField>
    <cacheField name="Purchase_Channel" numFmtId="0">
      <sharedItems count="2">
        <s v="Store"/>
        <s v="Online"/>
      </sharedItems>
    </cacheField>
    <cacheField name="Satisfaction_Score"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9593853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s v="2023-07-07"/>
    <x v="0"/>
    <x v="0"/>
    <n v="21126.87"/>
    <x v="0"/>
    <x v="0"/>
    <x v="0"/>
    <n v="2"/>
  </r>
  <r>
    <x v="1"/>
    <x v="1"/>
    <x v="1"/>
    <x v="1"/>
    <x v="0"/>
    <s v="2023-06-04"/>
    <x v="1"/>
    <x v="1"/>
    <n v="6370.04"/>
    <x v="1"/>
    <x v="0"/>
    <x v="1"/>
    <n v="3"/>
  </r>
  <r>
    <x v="2"/>
    <x v="1"/>
    <x v="2"/>
    <x v="2"/>
    <x v="0"/>
    <s v="2023-08-31"/>
    <x v="2"/>
    <x v="2"/>
    <n v="21754.240000000002"/>
    <x v="0"/>
    <x v="1"/>
    <x v="0"/>
    <n v="5"/>
  </r>
  <r>
    <x v="3"/>
    <x v="1"/>
    <x v="3"/>
    <x v="3"/>
    <x v="1"/>
    <s v="2022-05-05"/>
    <x v="3"/>
    <x v="3"/>
    <n v="79927.05"/>
    <x v="2"/>
    <x v="1"/>
    <x v="0"/>
    <n v="2"/>
  </r>
  <r>
    <x v="4"/>
    <x v="1"/>
    <x v="4"/>
    <x v="1"/>
    <x v="0"/>
    <s v="2023-08-28"/>
    <x v="4"/>
    <x v="2"/>
    <n v="21907.29"/>
    <x v="1"/>
    <x v="1"/>
    <x v="0"/>
    <n v="2"/>
  </r>
  <r>
    <x v="5"/>
    <x v="0"/>
    <x v="5"/>
    <x v="4"/>
    <x v="1"/>
    <s v="2022-06-13"/>
    <x v="5"/>
    <x v="2"/>
    <n v="11788.15"/>
    <x v="1"/>
    <x v="1"/>
    <x v="1"/>
    <n v="2"/>
  </r>
  <r>
    <x v="6"/>
    <x v="1"/>
    <x v="6"/>
    <x v="3"/>
    <x v="2"/>
    <s v="2022-01-01"/>
    <x v="6"/>
    <x v="4"/>
    <n v="9828.0499999999993"/>
    <x v="2"/>
    <x v="0"/>
    <x v="0"/>
    <n v="2"/>
  </r>
  <r>
    <x v="7"/>
    <x v="0"/>
    <x v="7"/>
    <x v="3"/>
    <x v="1"/>
    <s v="2022-10-16"/>
    <x v="7"/>
    <x v="2"/>
    <n v="17139.41"/>
    <x v="1"/>
    <x v="0"/>
    <x v="0"/>
    <n v="4"/>
  </r>
  <r>
    <x v="8"/>
    <x v="0"/>
    <x v="8"/>
    <x v="3"/>
    <x v="2"/>
    <s v="2022-09-28"/>
    <x v="8"/>
    <x v="1"/>
    <n v="3077.18"/>
    <x v="2"/>
    <x v="0"/>
    <x v="1"/>
    <n v="3"/>
  </r>
  <r>
    <x v="9"/>
    <x v="1"/>
    <x v="9"/>
    <x v="4"/>
    <x v="1"/>
    <s v="2022-07-13"/>
    <x v="9"/>
    <x v="2"/>
    <n v="7844.53"/>
    <x v="2"/>
    <x v="1"/>
    <x v="0"/>
    <n v="4"/>
  </r>
  <r>
    <x v="10"/>
    <x v="0"/>
    <x v="10"/>
    <x v="1"/>
    <x v="0"/>
    <s v="2022-05-31"/>
    <x v="10"/>
    <x v="4"/>
    <n v="9585.5"/>
    <x v="1"/>
    <x v="1"/>
    <x v="1"/>
    <n v="1"/>
  </r>
  <r>
    <x v="11"/>
    <x v="0"/>
    <x v="11"/>
    <x v="1"/>
    <x v="0"/>
    <s v="2023-02-07"/>
    <x v="11"/>
    <x v="1"/>
    <n v="21165.15"/>
    <x v="1"/>
    <x v="1"/>
    <x v="0"/>
    <n v="3"/>
  </r>
  <r>
    <x v="12"/>
    <x v="0"/>
    <x v="12"/>
    <x v="3"/>
    <x v="1"/>
    <s v="2022-03-17"/>
    <x v="12"/>
    <x v="3"/>
    <n v="64684.35"/>
    <x v="0"/>
    <x v="1"/>
    <x v="1"/>
    <n v="3"/>
  </r>
  <r>
    <x v="13"/>
    <x v="1"/>
    <x v="13"/>
    <x v="0"/>
    <x v="0"/>
    <s v="2023-10-01"/>
    <x v="13"/>
    <x v="3"/>
    <n v="43409.14"/>
    <x v="0"/>
    <x v="0"/>
    <x v="0"/>
    <n v="1"/>
  </r>
  <r>
    <x v="14"/>
    <x v="0"/>
    <x v="14"/>
    <x v="1"/>
    <x v="0"/>
    <s v="2022-07-09"/>
    <x v="14"/>
    <x v="2"/>
    <n v="13271.17"/>
    <x v="1"/>
    <x v="0"/>
    <x v="1"/>
    <n v="3"/>
  </r>
  <r>
    <x v="15"/>
    <x v="0"/>
    <x v="11"/>
    <x v="4"/>
    <x v="2"/>
    <s v="2022-09-23"/>
    <x v="15"/>
    <x v="0"/>
    <n v="25292.639999999999"/>
    <x v="0"/>
    <x v="1"/>
    <x v="1"/>
    <n v="5"/>
  </r>
  <r>
    <x v="16"/>
    <x v="0"/>
    <x v="7"/>
    <x v="0"/>
    <x v="2"/>
    <s v="2022-09-10"/>
    <x v="16"/>
    <x v="1"/>
    <n v="18360.38"/>
    <x v="0"/>
    <x v="0"/>
    <x v="0"/>
    <n v="5"/>
  </r>
  <r>
    <x v="17"/>
    <x v="0"/>
    <x v="15"/>
    <x v="0"/>
    <x v="0"/>
    <s v="2022-10-01"/>
    <x v="17"/>
    <x v="0"/>
    <n v="15970.45"/>
    <x v="0"/>
    <x v="1"/>
    <x v="0"/>
    <n v="3"/>
  </r>
  <r>
    <x v="18"/>
    <x v="0"/>
    <x v="5"/>
    <x v="3"/>
    <x v="0"/>
    <s v="2023-02-07"/>
    <x v="18"/>
    <x v="2"/>
    <n v="8978.85"/>
    <x v="1"/>
    <x v="0"/>
    <x v="0"/>
    <n v="4"/>
  </r>
  <r>
    <x v="19"/>
    <x v="0"/>
    <x v="3"/>
    <x v="2"/>
    <x v="0"/>
    <s v="2022-12-31"/>
    <x v="19"/>
    <x v="4"/>
    <n v="2858.21"/>
    <x v="0"/>
    <x v="1"/>
    <x v="1"/>
    <n v="2"/>
  </r>
  <r>
    <x v="20"/>
    <x v="1"/>
    <x v="15"/>
    <x v="4"/>
    <x v="2"/>
    <s v="2023-06-14"/>
    <x v="20"/>
    <x v="2"/>
    <n v="4503.5"/>
    <x v="2"/>
    <x v="0"/>
    <x v="0"/>
    <n v="2"/>
  </r>
  <r>
    <x v="21"/>
    <x v="0"/>
    <x v="16"/>
    <x v="0"/>
    <x v="1"/>
    <s v="2022-06-16"/>
    <x v="21"/>
    <x v="1"/>
    <n v="12609.2"/>
    <x v="2"/>
    <x v="0"/>
    <x v="1"/>
    <n v="4"/>
  </r>
  <r>
    <x v="22"/>
    <x v="0"/>
    <x v="6"/>
    <x v="3"/>
    <x v="2"/>
    <s v="2022-01-24"/>
    <x v="22"/>
    <x v="0"/>
    <n v="3141.52"/>
    <x v="0"/>
    <x v="1"/>
    <x v="1"/>
    <n v="3"/>
  </r>
  <r>
    <x v="23"/>
    <x v="0"/>
    <x v="13"/>
    <x v="4"/>
    <x v="1"/>
    <s v="2022-06-10"/>
    <x v="23"/>
    <x v="1"/>
    <n v="19428.91"/>
    <x v="2"/>
    <x v="1"/>
    <x v="1"/>
    <n v="4"/>
  </r>
  <r>
    <x v="24"/>
    <x v="1"/>
    <x v="17"/>
    <x v="1"/>
    <x v="1"/>
    <s v="2022-11-13"/>
    <x v="24"/>
    <x v="1"/>
    <n v="26659.02"/>
    <x v="1"/>
    <x v="1"/>
    <x v="0"/>
    <n v="5"/>
  </r>
  <r>
    <x v="25"/>
    <x v="1"/>
    <x v="18"/>
    <x v="0"/>
    <x v="2"/>
    <s v="2022-09-03"/>
    <x v="25"/>
    <x v="3"/>
    <n v="55628.29"/>
    <x v="2"/>
    <x v="1"/>
    <x v="1"/>
    <n v="4"/>
  </r>
  <r>
    <x v="26"/>
    <x v="0"/>
    <x v="10"/>
    <x v="2"/>
    <x v="0"/>
    <s v="2023-03-09"/>
    <x v="26"/>
    <x v="0"/>
    <n v="10391.56"/>
    <x v="1"/>
    <x v="0"/>
    <x v="0"/>
    <n v="2"/>
  </r>
  <r>
    <x v="27"/>
    <x v="0"/>
    <x v="14"/>
    <x v="4"/>
    <x v="1"/>
    <s v="2022-11-20"/>
    <x v="27"/>
    <x v="3"/>
    <n v="79852.47"/>
    <x v="1"/>
    <x v="0"/>
    <x v="1"/>
    <n v="5"/>
  </r>
  <r>
    <x v="28"/>
    <x v="1"/>
    <x v="19"/>
    <x v="0"/>
    <x v="1"/>
    <s v="2023-05-02"/>
    <x v="4"/>
    <x v="2"/>
    <n v="5906.88"/>
    <x v="2"/>
    <x v="1"/>
    <x v="0"/>
    <n v="1"/>
  </r>
  <r>
    <x v="29"/>
    <x v="0"/>
    <x v="20"/>
    <x v="3"/>
    <x v="0"/>
    <s v="2023-07-06"/>
    <x v="28"/>
    <x v="1"/>
    <n v="17807.27"/>
    <x v="0"/>
    <x v="1"/>
    <x v="0"/>
    <n v="4"/>
  </r>
  <r>
    <x v="30"/>
    <x v="0"/>
    <x v="18"/>
    <x v="3"/>
    <x v="0"/>
    <s v="2022-09-09"/>
    <x v="29"/>
    <x v="0"/>
    <n v="3584.09"/>
    <x v="0"/>
    <x v="0"/>
    <x v="1"/>
    <n v="2"/>
  </r>
  <r>
    <x v="31"/>
    <x v="0"/>
    <x v="16"/>
    <x v="2"/>
    <x v="2"/>
    <s v="2023-04-24"/>
    <x v="30"/>
    <x v="2"/>
    <n v="6872.08"/>
    <x v="2"/>
    <x v="0"/>
    <x v="1"/>
    <n v="5"/>
  </r>
  <r>
    <x v="32"/>
    <x v="0"/>
    <x v="21"/>
    <x v="3"/>
    <x v="0"/>
    <s v="2023-01-19"/>
    <x v="31"/>
    <x v="4"/>
    <n v="5217.7299999999996"/>
    <x v="0"/>
    <x v="0"/>
    <x v="0"/>
    <n v="1"/>
  </r>
  <r>
    <x v="33"/>
    <x v="1"/>
    <x v="22"/>
    <x v="3"/>
    <x v="0"/>
    <s v="2023-07-25"/>
    <x v="32"/>
    <x v="0"/>
    <n v="14357.07"/>
    <x v="1"/>
    <x v="1"/>
    <x v="1"/>
    <n v="1"/>
  </r>
  <r>
    <x v="34"/>
    <x v="0"/>
    <x v="23"/>
    <x v="2"/>
    <x v="1"/>
    <s v="2022-05-08"/>
    <x v="33"/>
    <x v="0"/>
    <n v="3534.76"/>
    <x v="0"/>
    <x v="1"/>
    <x v="1"/>
    <n v="4"/>
  </r>
  <r>
    <x v="35"/>
    <x v="1"/>
    <x v="9"/>
    <x v="4"/>
    <x v="0"/>
    <s v="2023-02-28"/>
    <x v="34"/>
    <x v="1"/>
    <n v="8666.18"/>
    <x v="2"/>
    <x v="0"/>
    <x v="1"/>
    <n v="2"/>
  </r>
  <r>
    <x v="36"/>
    <x v="1"/>
    <x v="24"/>
    <x v="3"/>
    <x v="2"/>
    <s v="2022-08-08"/>
    <x v="35"/>
    <x v="3"/>
    <n v="19267.73"/>
    <x v="1"/>
    <x v="1"/>
    <x v="1"/>
    <n v="3"/>
  </r>
  <r>
    <x v="37"/>
    <x v="1"/>
    <x v="13"/>
    <x v="3"/>
    <x v="2"/>
    <s v="2023-04-26"/>
    <x v="36"/>
    <x v="2"/>
    <n v="22561.599999999999"/>
    <x v="2"/>
    <x v="0"/>
    <x v="1"/>
    <n v="5"/>
  </r>
  <r>
    <x v="38"/>
    <x v="0"/>
    <x v="25"/>
    <x v="0"/>
    <x v="0"/>
    <s v="2022-01-19"/>
    <x v="28"/>
    <x v="3"/>
    <n v="61617.14"/>
    <x v="1"/>
    <x v="1"/>
    <x v="1"/>
    <n v="5"/>
  </r>
  <r>
    <x v="39"/>
    <x v="0"/>
    <x v="25"/>
    <x v="3"/>
    <x v="0"/>
    <s v="2022-02-13"/>
    <x v="37"/>
    <x v="1"/>
    <n v="20343.57"/>
    <x v="2"/>
    <x v="1"/>
    <x v="0"/>
    <n v="2"/>
  </r>
  <r>
    <x v="40"/>
    <x v="1"/>
    <x v="18"/>
    <x v="4"/>
    <x v="2"/>
    <s v="2022-09-28"/>
    <x v="22"/>
    <x v="3"/>
    <n v="51750.91"/>
    <x v="0"/>
    <x v="0"/>
    <x v="0"/>
    <n v="2"/>
  </r>
  <r>
    <x v="41"/>
    <x v="0"/>
    <x v="14"/>
    <x v="1"/>
    <x v="0"/>
    <s v="2023-05-19"/>
    <x v="38"/>
    <x v="0"/>
    <n v="3976.94"/>
    <x v="0"/>
    <x v="1"/>
    <x v="1"/>
    <n v="4"/>
  </r>
  <r>
    <x v="42"/>
    <x v="0"/>
    <x v="21"/>
    <x v="1"/>
    <x v="1"/>
    <s v="2022-11-05"/>
    <x v="39"/>
    <x v="0"/>
    <n v="5567.44"/>
    <x v="1"/>
    <x v="1"/>
    <x v="0"/>
    <n v="4"/>
  </r>
  <r>
    <x v="43"/>
    <x v="1"/>
    <x v="3"/>
    <x v="2"/>
    <x v="2"/>
    <s v="2023-05-08"/>
    <x v="40"/>
    <x v="4"/>
    <n v="8821.42"/>
    <x v="0"/>
    <x v="0"/>
    <x v="1"/>
    <n v="4"/>
  </r>
  <r>
    <x v="44"/>
    <x v="0"/>
    <x v="25"/>
    <x v="3"/>
    <x v="2"/>
    <s v="2023-04-18"/>
    <x v="41"/>
    <x v="3"/>
    <n v="41642.949999999997"/>
    <x v="2"/>
    <x v="1"/>
    <x v="1"/>
    <n v="4"/>
  </r>
  <r>
    <x v="45"/>
    <x v="1"/>
    <x v="1"/>
    <x v="4"/>
    <x v="1"/>
    <s v="2022-04-24"/>
    <x v="42"/>
    <x v="0"/>
    <n v="29828.02"/>
    <x v="2"/>
    <x v="1"/>
    <x v="0"/>
    <n v="5"/>
  </r>
  <r>
    <x v="46"/>
    <x v="1"/>
    <x v="13"/>
    <x v="3"/>
    <x v="0"/>
    <s v="2022-12-28"/>
    <x v="43"/>
    <x v="2"/>
    <n v="15330.58"/>
    <x v="0"/>
    <x v="0"/>
    <x v="1"/>
    <n v="3"/>
  </r>
  <r>
    <x v="47"/>
    <x v="0"/>
    <x v="16"/>
    <x v="4"/>
    <x v="1"/>
    <s v="2023-07-28"/>
    <x v="44"/>
    <x v="4"/>
    <n v="3377.31"/>
    <x v="0"/>
    <x v="0"/>
    <x v="0"/>
    <n v="3"/>
  </r>
  <r>
    <x v="48"/>
    <x v="1"/>
    <x v="26"/>
    <x v="4"/>
    <x v="1"/>
    <s v="2023-02-15"/>
    <x v="45"/>
    <x v="0"/>
    <n v="28681.68"/>
    <x v="0"/>
    <x v="0"/>
    <x v="1"/>
    <n v="5"/>
  </r>
  <r>
    <x v="49"/>
    <x v="0"/>
    <x v="27"/>
    <x v="3"/>
    <x v="2"/>
    <s v="2022-06-27"/>
    <x v="46"/>
    <x v="1"/>
    <n v="25464.02"/>
    <x v="0"/>
    <x v="1"/>
    <x v="1"/>
    <n v="4"/>
  </r>
  <r>
    <x v="50"/>
    <x v="1"/>
    <x v="5"/>
    <x v="2"/>
    <x v="1"/>
    <s v="2022-04-03"/>
    <x v="47"/>
    <x v="4"/>
    <n v="6019.45"/>
    <x v="2"/>
    <x v="1"/>
    <x v="1"/>
    <n v="2"/>
  </r>
  <r>
    <x v="51"/>
    <x v="1"/>
    <x v="28"/>
    <x v="2"/>
    <x v="0"/>
    <s v="2022-07-12"/>
    <x v="48"/>
    <x v="4"/>
    <n v="1572.45"/>
    <x v="2"/>
    <x v="1"/>
    <x v="0"/>
    <n v="1"/>
  </r>
  <r>
    <x v="52"/>
    <x v="0"/>
    <x v="8"/>
    <x v="3"/>
    <x v="2"/>
    <s v="2023-03-27"/>
    <x v="49"/>
    <x v="3"/>
    <n v="75560.72"/>
    <x v="2"/>
    <x v="0"/>
    <x v="1"/>
    <n v="5"/>
  </r>
  <r>
    <x v="53"/>
    <x v="0"/>
    <x v="11"/>
    <x v="3"/>
    <x v="2"/>
    <s v="2023-11-18"/>
    <x v="50"/>
    <x v="0"/>
    <n v="24916.880000000001"/>
    <x v="2"/>
    <x v="0"/>
    <x v="0"/>
    <n v="4"/>
  </r>
  <r>
    <x v="54"/>
    <x v="1"/>
    <x v="6"/>
    <x v="2"/>
    <x v="2"/>
    <s v="2022-08-20"/>
    <x v="51"/>
    <x v="0"/>
    <n v="15659.5"/>
    <x v="0"/>
    <x v="1"/>
    <x v="1"/>
    <n v="1"/>
  </r>
  <r>
    <x v="55"/>
    <x v="1"/>
    <x v="29"/>
    <x v="4"/>
    <x v="2"/>
    <s v="2022-04-27"/>
    <x v="52"/>
    <x v="3"/>
    <n v="23500.19"/>
    <x v="0"/>
    <x v="1"/>
    <x v="1"/>
    <n v="3"/>
  </r>
  <r>
    <x v="56"/>
    <x v="0"/>
    <x v="0"/>
    <x v="3"/>
    <x v="1"/>
    <s v="2023-11-11"/>
    <x v="53"/>
    <x v="4"/>
    <n v="6774.47"/>
    <x v="2"/>
    <x v="1"/>
    <x v="0"/>
    <n v="4"/>
  </r>
  <r>
    <x v="57"/>
    <x v="0"/>
    <x v="30"/>
    <x v="2"/>
    <x v="2"/>
    <s v="2023-11-18"/>
    <x v="54"/>
    <x v="3"/>
    <n v="37088.620000000003"/>
    <x v="1"/>
    <x v="0"/>
    <x v="1"/>
    <n v="5"/>
  </r>
  <r>
    <x v="58"/>
    <x v="0"/>
    <x v="28"/>
    <x v="4"/>
    <x v="2"/>
    <s v="2022-11-05"/>
    <x v="55"/>
    <x v="2"/>
    <n v="5014.95"/>
    <x v="2"/>
    <x v="0"/>
    <x v="0"/>
    <n v="2"/>
  </r>
  <r>
    <x v="59"/>
    <x v="0"/>
    <x v="14"/>
    <x v="0"/>
    <x v="2"/>
    <s v="2022-12-19"/>
    <x v="56"/>
    <x v="1"/>
    <n v="22917.45"/>
    <x v="2"/>
    <x v="1"/>
    <x v="1"/>
    <n v="2"/>
  </r>
  <r>
    <x v="60"/>
    <x v="1"/>
    <x v="25"/>
    <x v="1"/>
    <x v="0"/>
    <s v="2023-07-09"/>
    <x v="57"/>
    <x v="4"/>
    <n v="7726.15"/>
    <x v="2"/>
    <x v="0"/>
    <x v="1"/>
    <n v="4"/>
  </r>
  <r>
    <x v="61"/>
    <x v="0"/>
    <x v="31"/>
    <x v="1"/>
    <x v="1"/>
    <s v="2023-03-15"/>
    <x v="58"/>
    <x v="1"/>
    <n v="26149.27"/>
    <x v="1"/>
    <x v="0"/>
    <x v="0"/>
    <n v="3"/>
  </r>
  <r>
    <x v="62"/>
    <x v="0"/>
    <x v="8"/>
    <x v="2"/>
    <x v="1"/>
    <s v="2023-06-10"/>
    <x v="59"/>
    <x v="0"/>
    <n v="7932.78"/>
    <x v="2"/>
    <x v="0"/>
    <x v="0"/>
    <n v="1"/>
  </r>
  <r>
    <x v="63"/>
    <x v="1"/>
    <x v="20"/>
    <x v="0"/>
    <x v="2"/>
    <s v="2022-05-14"/>
    <x v="60"/>
    <x v="3"/>
    <n v="25675.27"/>
    <x v="1"/>
    <x v="0"/>
    <x v="0"/>
    <n v="4"/>
  </r>
  <r>
    <x v="64"/>
    <x v="0"/>
    <x v="14"/>
    <x v="0"/>
    <x v="0"/>
    <s v="2022-03-28"/>
    <x v="61"/>
    <x v="2"/>
    <n v="4933.53"/>
    <x v="2"/>
    <x v="1"/>
    <x v="0"/>
    <n v="4"/>
  </r>
  <r>
    <x v="65"/>
    <x v="1"/>
    <x v="25"/>
    <x v="1"/>
    <x v="1"/>
    <s v="2022-03-11"/>
    <x v="62"/>
    <x v="3"/>
    <n v="16467.09"/>
    <x v="1"/>
    <x v="0"/>
    <x v="0"/>
    <n v="4"/>
  </r>
  <r>
    <x v="66"/>
    <x v="1"/>
    <x v="24"/>
    <x v="2"/>
    <x v="2"/>
    <s v="2022-08-08"/>
    <x v="63"/>
    <x v="1"/>
    <n v="24213.91"/>
    <x v="1"/>
    <x v="1"/>
    <x v="0"/>
    <n v="4"/>
  </r>
  <r>
    <x v="67"/>
    <x v="1"/>
    <x v="32"/>
    <x v="0"/>
    <x v="0"/>
    <s v="2022-04-08"/>
    <x v="12"/>
    <x v="0"/>
    <n v="22750.29"/>
    <x v="0"/>
    <x v="0"/>
    <x v="1"/>
    <n v="3"/>
  </r>
  <r>
    <x v="68"/>
    <x v="0"/>
    <x v="16"/>
    <x v="0"/>
    <x v="1"/>
    <s v="2023-10-28"/>
    <x v="64"/>
    <x v="2"/>
    <n v="25713.46"/>
    <x v="2"/>
    <x v="1"/>
    <x v="1"/>
    <n v="2"/>
  </r>
  <r>
    <x v="69"/>
    <x v="0"/>
    <x v="10"/>
    <x v="3"/>
    <x v="1"/>
    <s v="2022-10-18"/>
    <x v="65"/>
    <x v="4"/>
    <n v="6401.92"/>
    <x v="1"/>
    <x v="0"/>
    <x v="1"/>
    <n v="5"/>
  </r>
  <r>
    <x v="70"/>
    <x v="0"/>
    <x v="17"/>
    <x v="0"/>
    <x v="2"/>
    <s v="2023-11-22"/>
    <x v="66"/>
    <x v="4"/>
    <n v="6276.22"/>
    <x v="1"/>
    <x v="0"/>
    <x v="0"/>
    <n v="1"/>
  </r>
  <r>
    <x v="71"/>
    <x v="1"/>
    <x v="19"/>
    <x v="1"/>
    <x v="2"/>
    <s v="2023-04-29"/>
    <x v="15"/>
    <x v="3"/>
    <n v="72302.34"/>
    <x v="2"/>
    <x v="0"/>
    <x v="0"/>
    <n v="4"/>
  </r>
  <r>
    <x v="72"/>
    <x v="0"/>
    <x v="33"/>
    <x v="3"/>
    <x v="0"/>
    <s v="2023-09-03"/>
    <x v="67"/>
    <x v="3"/>
    <n v="46622.65"/>
    <x v="1"/>
    <x v="1"/>
    <x v="1"/>
    <n v="4"/>
  </r>
  <r>
    <x v="73"/>
    <x v="1"/>
    <x v="15"/>
    <x v="3"/>
    <x v="1"/>
    <s v="2022-01-25"/>
    <x v="65"/>
    <x v="3"/>
    <n v="47390.68"/>
    <x v="1"/>
    <x v="1"/>
    <x v="0"/>
    <n v="3"/>
  </r>
  <r>
    <x v="74"/>
    <x v="0"/>
    <x v="26"/>
    <x v="2"/>
    <x v="2"/>
    <s v="2023-11-10"/>
    <x v="68"/>
    <x v="1"/>
    <n v="3058.84"/>
    <x v="0"/>
    <x v="1"/>
    <x v="0"/>
    <n v="5"/>
  </r>
  <r>
    <x v="75"/>
    <x v="0"/>
    <x v="6"/>
    <x v="3"/>
    <x v="2"/>
    <s v="2023-03-22"/>
    <x v="69"/>
    <x v="1"/>
    <n v="10182.040000000001"/>
    <x v="0"/>
    <x v="1"/>
    <x v="1"/>
    <n v="5"/>
  </r>
  <r>
    <x v="76"/>
    <x v="0"/>
    <x v="26"/>
    <x v="2"/>
    <x v="2"/>
    <s v="2023-09-12"/>
    <x v="70"/>
    <x v="3"/>
    <n v="48637.91"/>
    <x v="1"/>
    <x v="0"/>
    <x v="0"/>
    <n v="3"/>
  </r>
  <r>
    <x v="77"/>
    <x v="0"/>
    <x v="19"/>
    <x v="2"/>
    <x v="0"/>
    <s v="2023-11-15"/>
    <x v="71"/>
    <x v="3"/>
    <n v="69426.899999999994"/>
    <x v="2"/>
    <x v="0"/>
    <x v="1"/>
    <n v="3"/>
  </r>
  <r>
    <x v="78"/>
    <x v="1"/>
    <x v="34"/>
    <x v="4"/>
    <x v="1"/>
    <s v="2022-08-18"/>
    <x v="72"/>
    <x v="0"/>
    <n v="21646.78"/>
    <x v="2"/>
    <x v="1"/>
    <x v="1"/>
    <n v="3"/>
  </r>
  <r>
    <x v="79"/>
    <x v="1"/>
    <x v="26"/>
    <x v="4"/>
    <x v="2"/>
    <s v="2022-12-08"/>
    <x v="73"/>
    <x v="0"/>
    <n v="19062.37"/>
    <x v="0"/>
    <x v="1"/>
    <x v="0"/>
    <n v="5"/>
  </r>
  <r>
    <x v="80"/>
    <x v="0"/>
    <x v="19"/>
    <x v="2"/>
    <x v="2"/>
    <s v="2022-03-10"/>
    <x v="74"/>
    <x v="1"/>
    <n v="24943.26"/>
    <x v="0"/>
    <x v="1"/>
    <x v="1"/>
    <n v="4"/>
  </r>
  <r>
    <x v="81"/>
    <x v="1"/>
    <x v="11"/>
    <x v="3"/>
    <x v="0"/>
    <s v="2023-11-06"/>
    <x v="75"/>
    <x v="0"/>
    <n v="11851.65"/>
    <x v="1"/>
    <x v="1"/>
    <x v="1"/>
    <n v="2"/>
  </r>
  <r>
    <x v="82"/>
    <x v="0"/>
    <x v="5"/>
    <x v="2"/>
    <x v="1"/>
    <s v="2023-04-01"/>
    <x v="76"/>
    <x v="0"/>
    <n v="15145.5"/>
    <x v="1"/>
    <x v="1"/>
    <x v="0"/>
    <n v="1"/>
  </r>
  <r>
    <x v="83"/>
    <x v="1"/>
    <x v="0"/>
    <x v="2"/>
    <x v="1"/>
    <s v="2022-11-17"/>
    <x v="77"/>
    <x v="2"/>
    <n v="9858.75"/>
    <x v="1"/>
    <x v="0"/>
    <x v="1"/>
    <n v="2"/>
  </r>
  <r>
    <x v="84"/>
    <x v="1"/>
    <x v="11"/>
    <x v="2"/>
    <x v="1"/>
    <s v="2023-08-03"/>
    <x v="78"/>
    <x v="3"/>
    <n v="56522.95"/>
    <x v="0"/>
    <x v="1"/>
    <x v="0"/>
    <n v="3"/>
  </r>
  <r>
    <x v="85"/>
    <x v="0"/>
    <x v="34"/>
    <x v="1"/>
    <x v="1"/>
    <s v="2022-11-30"/>
    <x v="79"/>
    <x v="2"/>
    <n v="8824.85"/>
    <x v="2"/>
    <x v="1"/>
    <x v="0"/>
    <n v="1"/>
  </r>
  <r>
    <x v="86"/>
    <x v="0"/>
    <x v="21"/>
    <x v="1"/>
    <x v="1"/>
    <s v="2023-04-14"/>
    <x v="80"/>
    <x v="4"/>
    <n v="9305.7199999999993"/>
    <x v="2"/>
    <x v="1"/>
    <x v="1"/>
    <n v="4"/>
  </r>
  <r>
    <x v="87"/>
    <x v="0"/>
    <x v="30"/>
    <x v="0"/>
    <x v="1"/>
    <s v="2023-04-19"/>
    <x v="81"/>
    <x v="4"/>
    <n v="8253.17"/>
    <x v="1"/>
    <x v="1"/>
    <x v="0"/>
    <n v="4"/>
  </r>
  <r>
    <x v="88"/>
    <x v="0"/>
    <x v="12"/>
    <x v="0"/>
    <x v="2"/>
    <s v="2023-06-06"/>
    <x v="82"/>
    <x v="0"/>
    <n v="25914.52"/>
    <x v="0"/>
    <x v="1"/>
    <x v="1"/>
    <n v="3"/>
  </r>
  <r>
    <x v="89"/>
    <x v="1"/>
    <x v="35"/>
    <x v="0"/>
    <x v="0"/>
    <s v="2022-04-05"/>
    <x v="83"/>
    <x v="0"/>
    <n v="7286.62"/>
    <x v="1"/>
    <x v="1"/>
    <x v="0"/>
    <n v="5"/>
  </r>
  <r>
    <x v="90"/>
    <x v="0"/>
    <x v="14"/>
    <x v="2"/>
    <x v="2"/>
    <s v="2023-04-25"/>
    <x v="84"/>
    <x v="3"/>
    <n v="60454.13"/>
    <x v="0"/>
    <x v="0"/>
    <x v="0"/>
    <n v="3"/>
  </r>
  <r>
    <x v="91"/>
    <x v="1"/>
    <x v="20"/>
    <x v="3"/>
    <x v="1"/>
    <s v="2022-01-13"/>
    <x v="85"/>
    <x v="1"/>
    <n v="10810.16"/>
    <x v="1"/>
    <x v="1"/>
    <x v="0"/>
    <n v="2"/>
  </r>
  <r>
    <x v="92"/>
    <x v="0"/>
    <x v="10"/>
    <x v="0"/>
    <x v="2"/>
    <s v="2023-10-12"/>
    <x v="86"/>
    <x v="0"/>
    <n v="27369.56"/>
    <x v="1"/>
    <x v="1"/>
    <x v="1"/>
    <n v="4"/>
  </r>
  <r>
    <x v="93"/>
    <x v="1"/>
    <x v="25"/>
    <x v="1"/>
    <x v="0"/>
    <s v="2023-06-17"/>
    <x v="87"/>
    <x v="4"/>
    <n v="1869.35"/>
    <x v="0"/>
    <x v="1"/>
    <x v="0"/>
    <n v="5"/>
  </r>
  <r>
    <x v="94"/>
    <x v="0"/>
    <x v="25"/>
    <x v="1"/>
    <x v="2"/>
    <s v="2022-09-01"/>
    <x v="88"/>
    <x v="1"/>
    <n v="13183.46"/>
    <x v="2"/>
    <x v="0"/>
    <x v="1"/>
    <n v="3"/>
  </r>
  <r>
    <x v="95"/>
    <x v="1"/>
    <x v="14"/>
    <x v="4"/>
    <x v="1"/>
    <s v="2022-06-17"/>
    <x v="89"/>
    <x v="3"/>
    <n v="51538.559999999998"/>
    <x v="0"/>
    <x v="1"/>
    <x v="1"/>
    <n v="1"/>
  </r>
  <r>
    <x v="96"/>
    <x v="0"/>
    <x v="7"/>
    <x v="4"/>
    <x v="2"/>
    <s v="2022-09-25"/>
    <x v="14"/>
    <x v="1"/>
    <n v="6497.33"/>
    <x v="0"/>
    <x v="0"/>
    <x v="1"/>
    <n v="4"/>
  </r>
  <r>
    <x v="97"/>
    <x v="1"/>
    <x v="7"/>
    <x v="1"/>
    <x v="0"/>
    <s v="2023-08-28"/>
    <x v="14"/>
    <x v="1"/>
    <n v="14292.21"/>
    <x v="1"/>
    <x v="1"/>
    <x v="1"/>
    <n v="1"/>
  </r>
  <r>
    <x v="98"/>
    <x v="1"/>
    <x v="18"/>
    <x v="2"/>
    <x v="1"/>
    <s v="2022-02-08"/>
    <x v="29"/>
    <x v="0"/>
    <n v="13119.46"/>
    <x v="0"/>
    <x v="1"/>
    <x v="1"/>
    <n v="5"/>
  </r>
  <r>
    <x v="99"/>
    <x v="0"/>
    <x v="27"/>
    <x v="4"/>
    <x v="1"/>
    <s v="2022-03-24"/>
    <x v="90"/>
    <x v="2"/>
    <n v="21774.42"/>
    <x v="0"/>
    <x v="1"/>
    <x v="0"/>
    <n v="1"/>
  </r>
  <r>
    <x v="100"/>
    <x v="1"/>
    <x v="36"/>
    <x v="3"/>
    <x v="0"/>
    <s v="2023-09-23"/>
    <x v="91"/>
    <x v="0"/>
    <n v="8623.2900000000009"/>
    <x v="0"/>
    <x v="1"/>
    <x v="0"/>
    <n v="5"/>
  </r>
  <r>
    <x v="101"/>
    <x v="0"/>
    <x v="21"/>
    <x v="4"/>
    <x v="1"/>
    <s v="2022-07-17"/>
    <x v="60"/>
    <x v="0"/>
    <n v="13059.25"/>
    <x v="0"/>
    <x v="1"/>
    <x v="1"/>
    <n v="4"/>
  </r>
  <r>
    <x v="102"/>
    <x v="1"/>
    <x v="30"/>
    <x v="3"/>
    <x v="1"/>
    <s v="2023-10-09"/>
    <x v="92"/>
    <x v="0"/>
    <n v="18215.29"/>
    <x v="1"/>
    <x v="0"/>
    <x v="0"/>
    <n v="2"/>
  </r>
  <r>
    <x v="103"/>
    <x v="0"/>
    <x v="34"/>
    <x v="3"/>
    <x v="1"/>
    <s v="2023-10-20"/>
    <x v="93"/>
    <x v="4"/>
    <n v="8477.02"/>
    <x v="2"/>
    <x v="0"/>
    <x v="1"/>
    <n v="5"/>
  </r>
  <r>
    <x v="104"/>
    <x v="0"/>
    <x v="8"/>
    <x v="3"/>
    <x v="0"/>
    <s v="2023-01-11"/>
    <x v="94"/>
    <x v="0"/>
    <n v="27401.4"/>
    <x v="0"/>
    <x v="0"/>
    <x v="1"/>
    <n v="1"/>
  </r>
  <r>
    <x v="105"/>
    <x v="1"/>
    <x v="23"/>
    <x v="2"/>
    <x v="1"/>
    <s v="2022-05-24"/>
    <x v="74"/>
    <x v="0"/>
    <n v="11714.84"/>
    <x v="0"/>
    <x v="0"/>
    <x v="1"/>
    <n v="1"/>
  </r>
  <r>
    <x v="106"/>
    <x v="0"/>
    <x v="11"/>
    <x v="1"/>
    <x v="2"/>
    <s v="2023-01-13"/>
    <x v="95"/>
    <x v="4"/>
    <n v="8323.57"/>
    <x v="2"/>
    <x v="0"/>
    <x v="0"/>
    <n v="1"/>
  </r>
  <r>
    <x v="107"/>
    <x v="1"/>
    <x v="37"/>
    <x v="3"/>
    <x v="1"/>
    <s v="2022-11-05"/>
    <x v="90"/>
    <x v="2"/>
    <n v="11781.45"/>
    <x v="1"/>
    <x v="0"/>
    <x v="0"/>
    <n v="5"/>
  </r>
  <r>
    <x v="108"/>
    <x v="1"/>
    <x v="7"/>
    <x v="2"/>
    <x v="0"/>
    <s v="2023-04-08"/>
    <x v="46"/>
    <x v="2"/>
    <n v="27597.360000000001"/>
    <x v="0"/>
    <x v="0"/>
    <x v="1"/>
    <n v="5"/>
  </r>
  <r>
    <x v="109"/>
    <x v="0"/>
    <x v="3"/>
    <x v="1"/>
    <x v="1"/>
    <s v="2023-01-11"/>
    <x v="96"/>
    <x v="1"/>
    <n v="5568.79"/>
    <x v="0"/>
    <x v="0"/>
    <x v="0"/>
    <n v="2"/>
  </r>
  <r>
    <x v="110"/>
    <x v="1"/>
    <x v="31"/>
    <x v="3"/>
    <x v="2"/>
    <s v="2023-08-30"/>
    <x v="97"/>
    <x v="4"/>
    <n v="9718.92"/>
    <x v="1"/>
    <x v="1"/>
    <x v="1"/>
    <n v="5"/>
  </r>
  <r>
    <x v="111"/>
    <x v="0"/>
    <x v="7"/>
    <x v="1"/>
    <x v="2"/>
    <s v="2023-11-24"/>
    <x v="65"/>
    <x v="4"/>
    <n v="2209.8000000000002"/>
    <x v="0"/>
    <x v="0"/>
    <x v="0"/>
    <n v="2"/>
  </r>
  <r>
    <x v="112"/>
    <x v="1"/>
    <x v="38"/>
    <x v="0"/>
    <x v="1"/>
    <s v="2023-07-04"/>
    <x v="8"/>
    <x v="3"/>
    <n v="15370.72"/>
    <x v="1"/>
    <x v="0"/>
    <x v="1"/>
    <n v="5"/>
  </r>
  <r>
    <x v="113"/>
    <x v="0"/>
    <x v="3"/>
    <x v="2"/>
    <x v="1"/>
    <s v="2023-09-29"/>
    <x v="98"/>
    <x v="1"/>
    <n v="9682.24"/>
    <x v="0"/>
    <x v="0"/>
    <x v="1"/>
    <n v="5"/>
  </r>
  <r>
    <x v="114"/>
    <x v="1"/>
    <x v="6"/>
    <x v="1"/>
    <x v="2"/>
    <s v="2023-08-18"/>
    <x v="99"/>
    <x v="3"/>
    <n v="51079.13"/>
    <x v="0"/>
    <x v="1"/>
    <x v="0"/>
    <n v="1"/>
  </r>
  <r>
    <x v="115"/>
    <x v="0"/>
    <x v="9"/>
    <x v="2"/>
    <x v="1"/>
    <s v="2022-05-31"/>
    <x v="100"/>
    <x v="0"/>
    <n v="23682.81"/>
    <x v="1"/>
    <x v="1"/>
    <x v="0"/>
    <n v="1"/>
  </r>
  <r>
    <x v="116"/>
    <x v="0"/>
    <x v="25"/>
    <x v="1"/>
    <x v="0"/>
    <s v="2022-06-29"/>
    <x v="85"/>
    <x v="4"/>
    <n v="7917.99"/>
    <x v="0"/>
    <x v="1"/>
    <x v="1"/>
    <n v="1"/>
  </r>
  <r>
    <x v="117"/>
    <x v="0"/>
    <x v="25"/>
    <x v="4"/>
    <x v="1"/>
    <s v="2023-06-12"/>
    <x v="52"/>
    <x v="1"/>
    <n v="16445.009999999998"/>
    <x v="2"/>
    <x v="0"/>
    <x v="1"/>
    <n v="1"/>
  </r>
  <r>
    <x v="118"/>
    <x v="0"/>
    <x v="13"/>
    <x v="2"/>
    <x v="1"/>
    <s v="2023-05-11"/>
    <x v="101"/>
    <x v="1"/>
    <n v="25812.87"/>
    <x v="0"/>
    <x v="0"/>
    <x v="0"/>
    <n v="3"/>
  </r>
  <r>
    <x v="119"/>
    <x v="0"/>
    <x v="35"/>
    <x v="0"/>
    <x v="2"/>
    <s v="2023-08-28"/>
    <x v="102"/>
    <x v="4"/>
    <n v="2388.36"/>
    <x v="2"/>
    <x v="1"/>
    <x v="1"/>
    <n v="1"/>
  </r>
  <r>
    <x v="120"/>
    <x v="0"/>
    <x v="37"/>
    <x v="3"/>
    <x v="2"/>
    <s v="2022-04-26"/>
    <x v="103"/>
    <x v="1"/>
    <n v="5897.97"/>
    <x v="1"/>
    <x v="1"/>
    <x v="0"/>
    <n v="4"/>
  </r>
  <r>
    <x v="121"/>
    <x v="1"/>
    <x v="6"/>
    <x v="4"/>
    <x v="0"/>
    <s v="2022-09-04"/>
    <x v="104"/>
    <x v="3"/>
    <n v="40476.730000000003"/>
    <x v="1"/>
    <x v="0"/>
    <x v="0"/>
    <n v="5"/>
  </r>
  <r>
    <x v="122"/>
    <x v="1"/>
    <x v="35"/>
    <x v="3"/>
    <x v="1"/>
    <s v="2023-03-09"/>
    <x v="105"/>
    <x v="2"/>
    <n v="19960.2"/>
    <x v="0"/>
    <x v="1"/>
    <x v="1"/>
    <n v="3"/>
  </r>
  <r>
    <x v="123"/>
    <x v="0"/>
    <x v="21"/>
    <x v="3"/>
    <x v="1"/>
    <s v="2023-08-27"/>
    <x v="26"/>
    <x v="0"/>
    <n v="17852.45"/>
    <x v="1"/>
    <x v="0"/>
    <x v="0"/>
    <n v="5"/>
  </r>
  <r>
    <x v="124"/>
    <x v="1"/>
    <x v="8"/>
    <x v="0"/>
    <x v="2"/>
    <s v="2023-11-17"/>
    <x v="106"/>
    <x v="0"/>
    <n v="11163.63"/>
    <x v="1"/>
    <x v="1"/>
    <x v="0"/>
    <n v="2"/>
  </r>
  <r>
    <x v="125"/>
    <x v="0"/>
    <x v="31"/>
    <x v="3"/>
    <x v="2"/>
    <s v="2022-03-27"/>
    <x v="54"/>
    <x v="1"/>
    <n v="29957.15"/>
    <x v="0"/>
    <x v="1"/>
    <x v="1"/>
    <n v="2"/>
  </r>
  <r>
    <x v="126"/>
    <x v="0"/>
    <x v="13"/>
    <x v="3"/>
    <x v="0"/>
    <s v="2022-05-12"/>
    <x v="107"/>
    <x v="0"/>
    <n v="9803.93"/>
    <x v="2"/>
    <x v="1"/>
    <x v="0"/>
    <n v="1"/>
  </r>
  <r>
    <x v="127"/>
    <x v="1"/>
    <x v="23"/>
    <x v="2"/>
    <x v="2"/>
    <s v="2023-06-12"/>
    <x v="108"/>
    <x v="2"/>
    <n v="12701.95"/>
    <x v="0"/>
    <x v="0"/>
    <x v="1"/>
    <n v="1"/>
  </r>
  <r>
    <x v="128"/>
    <x v="1"/>
    <x v="3"/>
    <x v="4"/>
    <x v="1"/>
    <s v="2022-12-07"/>
    <x v="109"/>
    <x v="1"/>
    <n v="14861.19"/>
    <x v="0"/>
    <x v="0"/>
    <x v="1"/>
    <n v="2"/>
  </r>
  <r>
    <x v="129"/>
    <x v="0"/>
    <x v="26"/>
    <x v="1"/>
    <x v="1"/>
    <s v="2023-08-25"/>
    <x v="110"/>
    <x v="0"/>
    <n v="20685.18"/>
    <x v="1"/>
    <x v="0"/>
    <x v="1"/>
    <n v="5"/>
  </r>
  <r>
    <x v="130"/>
    <x v="0"/>
    <x v="31"/>
    <x v="0"/>
    <x v="0"/>
    <s v="2022-09-12"/>
    <x v="111"/>
    <x v="4"/>
    <n v="5898.71"/>
    <x v="0"/>
    <x v="0"/>
    <x v="0"/>
    <n v="5"/>
  </r>
  <r>
    <x v="131"/>
    <x v="0"/>
    <x v="39"/>
    <x v="4"/>
    <x v="0"/>
    <s v="2023-02-27"/>
    <x v="112"/>
    <x v="4"/>
    <n v="8725.23"/>
    <x v="1"/>
    <x v="0"/>
    <x v="1"/>
    <n v="3"/>
  </r>
  <r>
    <x v="132"/>
    <x v="1"/>
    <x v="7"/>
    <x v="1"/>
    <x v="1"/>
    <s v="2023-11-15"/>
    <x v="113"/>
    <x v="2"/>
    <n v="4352.2"/>
    <x v="1"/>
    <x v="1"/>
    <x v="0"/>
    <n v="5"/>
  </r>
  <r>
    <x v="133"/>
    <x v="0"/>
    <x v="12"/>
    <x v="1"/>
    <x v="0"/>
    <s v="2023-04-06"/>
    <x v="114"/>
    <x v="4"/>
    <n v="3703.96"/>
    <x v="2"/>
    <x v="0"/>
    <x v="0"/>
    <n v="2"/>
  </r>
  <r>
    <x v="134"/>
    <x v="1"/>
    <x v="29"/>
    <x v="3"/>
    <x v="0"/>
    <s v="2023-02-23"/>
    <x v="115"/>
    <x v="1"/>
    <n v="26747.43"/>
    <x v="1"/>
    <x v="0"/>
    <x v="0"/>
    <n v="4"/>
  </r>
  <r>
    <x v="135"/>
    <x v="0"/>
    <x v="6"/>
    <x v="1"/>
    <x v="1"/>
    <s v="2022-11-11"/>
    <x v="3"/>
    <x v="0"/>
    <n v="7884.52"/>
    <x v="1"/>
    <x v="0"/>
    <x v="0"/>
    <n v="1"/>
  </r>
  <r>
    <x v="136"/>
    <x v="1"/>
    <x v="5"/>
    <x v="2"/>
    <x v="2"/>
    <s v="2022-06-01"/>
    <x v="116"/>
    <x v="2"/>
    <n v="28436.77"/>
    <x v="0"/>
    <x v="0"/>
    <x v="1"/>
    <n v="1"/>
  </r>
  <r>
    <x v="137"/>
    <x v="1"/>
    <x v="10"/>
    <x v="3"/>
    <x v="1"/>
    <s v="2022-03-04"/>
    <x v="117"/>
    <x v="0"/>
    <n v="28639.14"/>
    <x v="0"/>
    <x v="0"/>
    <x v="1"/>
    <n v="1"/>
  </r>
  <r>
    <x v="138"/>
    <x v="0"/>
    <x v="26"/>
    <x v="0"/>
    <x v="1"/>
    <s v="2022-11-29"/>
    <x v="118"/>
    <x v="4"/>
    <n v="2605.46"/>
    <x v="2"/>
    <x v="1"/>
    <x v="0"/>
    <n v="1"/>
  </r>
  <r>
    <x v="139"/>
    <x v="0"/>
    <x v="12"/>
    <x v="4"/>
    <x v="1"/>
    <s v="2022-05-20"/>
    <x v="119"/>
    <x v="2"/>
    <n v="26427.09"/>
    <x v="1"/>
    <x v="0"/>
    <x v="0"/>
    <n v="4"/>
  </r>
  <r>
    <x v="140"/>
    <x v="0"/>
    <x v="3"/>
    <x v="2"/>
    <x v="0"/>
    <s v="2023-07-27"/>
    <x v="120"/>
    <x v="2"/>
    <n v="9277.02"/>
    <x v="0"/>
    <x v="1"/>
    <x v="1"/>
    <n v="4"/>
  </r>
  <r>
    <x v="141"/>
    <x v="0"/>
    <x v="24"/>
    <x v="3"/>
    <x v="2"/>
    <s v="2023-07-16"/>
    <x v="121"/>
    <x v="2"/>
    <n v="8759.77"/>
    <x v="2"/>
    <x v="0"/>
    <x v="1"/>
    <n v="1"/>
  </r>
  <r>
    <x v="142"/>
    <x v="0"/>
    <x v="2"/>
    <x v="4"/>
    <x v="2"/>
    <s v="2023-10-01"/>
    <x v="122"/>
    <x v="0"/>
    <n v="24835.39"/>
    <x v="0"/>
    <x v="0"/>
    <x v="0"/>
    <n v="3"/>
  </r>
  <r>
    <x v="143"/>
    <x v="0"/>
    <x v="35"/>
    <x v="0"/>
    <x v="1"/>
    <s v="2023-06-27"/>
    <x v="123"/>
    <x v="3"/>
    <n v="18665.759999999998"/>
    <x v="2"/>
    <x v="0"/>
    <x v="1"/>
    <n v="5"/>
  </r>
  <r>
    <x v="144"/>
    <x v="1"/>
    <x v="40"/>
    <x v="4"/>
    <x v="1"/>
    <s v="2022-09-30"/>
    <x v="124"/>
    <x v="3"/>
    <n v="41930.36"/>
    <x v="2"/>
    <x v="0"/>
    <x v="0"/>
    <n v="1"/>
  </r>
  <r>
    <x v="145"/>
    <x v="0"/>
    <x v="37"/>
    <x v="2"/>
    <x v="2"/>
    <s v="2022-05-01"/>
    <x v="47"/>
    <x v="1"/>
    <n v="13643.46"/>
    <x v="0"/>
    <x v="1"/>
    <x v="1"/>
    <n v="4"/>
  </r>
  <r>
    <x v="146"/>
    <x v="1"/>
    <x v="3"/>
    <x v="4"/>
    <x v="1"/>
    <s v="2022-04-04"/>
    <x v="125"/>
    <x v="0"/>
    <n v="28333.96"/>
    <x v="1"/>
    <x v="0"/>
    <x v="0"/>
    <n v="1"/>
  </r>
  <r>
    <x v="147"/>
    <x v="0"/>
    <x v="16"/>
    <x v="2"/>
    <x v="2"/>
    <s v="2023-10-22"/>
    <x v="126"/>
    <x v="4"/>
    <n v="6947.96"/>
    <x v="2"/>
    <x v="1"/>
    <x v="1"/>
    <n v="3"/>
  </r>
  <r>
    <x v="148"/>
    <x v="1"/>
    <x v="15"/>
    <x v="4"/>
    <x v="1"/>
    <s v="2022-10-02"/>
    <x v="110"/>
    <x v="0"/>
    <n v="20343.86"/>
    <x v="0"/>
    <x v="0"/>
    <x v="0"/>
    <n v="2"/>
  </r>
  <r>
    <x v="149"/>
    <x v="1"/>
    <x v="34"/>
    <x v="1"/>
    <x v="1"/>
    <s v="2022-04-30"/>
    <x v="127"/>
    <x v="2"/>
    <n v="3384.88"/>
    <x v="2"/>
    <x v="1"/>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2A74F1-F10E-4A86-8BCC-5BA2E47261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2:P33" firstHeaderRow="1" firstDataRow="1" firstDataCol="1"/>
  <pivotFields count="13">
    <pivotField showAll="0"/>
    <pivotField showAll="0"/>
    <pivotField axis="axisRow" showAll="0" sortType="descending">
      <items count="42">
        <item x="16"/>
        <item x="0"/>
        <item x="25"/>
        <item x="9"/>
        <item x="7"/>
        <item x="35"/>
        <item x="6"/>
        <item x="29"/>
        <item x="39"/>
        <item x="22"/>
        <item x="8"/>
        <item x="33"/>
        <item x="24"/>
        <item x="15"/>
        <item x="37"/>
        <item x="18"/>
        <item x="34"/>
        <item x="40"/>
        <item x="17"/>
        <item x="12"/>
        <item x="31"/>
        <item x="27"/>
        <item x="36"/>
        <item x="2"/>
        <item x="13"/>
        <item x="5"/>
        <item x="3"/>
        <item x="28"/>
        <item x="11"/>
        <item x="32"/>
        <item x="4"/>
        <item x="38"/>
        <item x="14"/>
        <item x="10"/>
        <item x="21"/>
        <item x="30"/>
        <item x="1"/>
        <item x="19"/>
        <item x="23"/>
        <item x="26"/>
        <item x="20"/>
        <item t="default"/>
      </items>
      <autoSortScope>
        <pivotArea dataOnly="0" outline="0" fieldPosition="0">
          <references count="1">
            <reference field="4294967294" count="1" selected="0">
              <x v="0"/>
            </reference>
          </references>
        </pivotArea>
      </autoSortScope>
    </pivotField>
    <pivotField showAll="0">
      <items count="6">
        <item x="1"/>
        <item h="1" x="3"/>
        <item x="4"/>
        <item h="1" x="0"/>
        <item h="1" x="2"/>
        <item t="default"/>
      </items>
    </pivotField>
    <pivotField showAll="0"/>
    <pivotField showAll="0"/>
    <pivotField showAll="0"/>
    <pivotField showAll="0">
      <items count="6">
        <item h="1" x="2"/>
        <item h="1" x="0"/>
        <item x="3"/>
        <item x="4"/>
        <item x="1"/>
        <item t="default"/>
      </items>
    </pivotField>
    <pivotField dataField="1" showAll="0"/>
    <pivotField showAll="0"/>
    <pivotField showAll="0"/>
    <pivotField showAll="0"/>
    <pivotField showAll="0"/>
  </pivotFields>
  <rowFields count="1">
    <field x="2"/>
  </rowFields>
  <rowItems count="21">
    <i>
      <x v="32"/>
    </i>
    <i>
      <x v="6"/>
    </i>
    <i>
      <x v="37"/>
    </i>
    <i>
      <x v="2"/>
    </i>
    <i>
      <x v="15"/>
    </i>
    <i>
      <x v="17"/>
    </i>
    <i>
      <x v="28"/>
    </i>
    <i>
      <x v="18"/>
    </i>
    <i>
      <x v="20"/>
    </i>
    <i>
      <x v="7"/>
    </i>
    <i>
      <x v="4"/>
    </i>
    <i>
      <x v="26"/>
    </i>
    <i>
      <x v="24"/>
    </i>
    <i>
      <x v="33"/>
    </i>
    <i>
      <x v="34"/>
    </i>
    <i>
      <x v="8"/>
    </i>
    <i>
      <x v="3"/>
    </i>
    <i>
      <x v="36"/>
    </i>
    <i>
      <x v="19"/>
    </i>
    <i>
      <x/>
    </i>
    <i t="grand">
      <x/>
    </i>
  </rowItems>
  <colItems count="1">
    <i/>
  </colItems>
  <dataFields count="1">
    <dataField name="Sum of Purchase_Amount" fld="8" baseField="1" baseItem="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2579E8-EB76-414C-BBA4-1FEAF3E6143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L15" firstHeaderRow="1" firstDataRow="1" firstDataCol="1"/>
  <pivotFields count="13">
    <pivotField showAll="0"/>
    <pivotField showAll="0"/>
    <pivotField showAll="0"/>
    <pivotField showAll="0">
      <items count="6">
        <item x="1"/>
        <item h="1" x="3"/>
        <item x="4"/>
        <item h="1" x="0"/>
        <item h="1" x="2"/>
        <item t="default"/>
      </items>
    </pivotField>
    <pivotField axis="axisRow" showAll="0">
      <items count="4">
        <item x="1"/>
        <item x="0"/>
        <item x="2"/>
        <item t="default"/>
      </items>
    </pivotField>
    <pivotField showAll="0"/>
    <pivotField showAll="0"/>
    <pivotField showAll="0" sortType="descending">
      <items count="6">
        <item h="1" x="2"/>
        <item h="1" x="0"/>
        <item x="3"/>
        <item x="4"/>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4"/>
  </rowFields>
  <rowItems count="4">
    <i>
      <x/>
    </i>
    <i>
      <x v="1"/>
    </i>
    <i>
      <x v="2"/>
    </i>
    <i t="grand">
      <x/>
    </i>
  </rowItems>
  <colItems count="1">
    <i/>
  </colItems>
  <dataFields count="1">
    <dataField name="Sum of Purchase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501C19-EE33-49FF-9A28-FDC76FA2455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ities">
  <location ref="D3:E6" firstHeaderRow="1" firstDataRow="1" firstDataCol="1"/>
  <pivotFields count="13">
    <pivotField showAll="0"/>
    <pivotField showAll="0"/>
    <pivotField showAll="0"/>
    <pivotField axis="axisRow" showAll="0" sortType="descending">
      <items count="6">
        <item x="1"/>
        <item h="1" x="3"/>
        <item x="4"/>
        <item h="1" x="0"/>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h="1" x="2"/>
        <item h="1" x="0"/>
        <item x="3"/>
        <item x="4"/>
        <item x="1"/>
        <item t="default"/>
      </items>
    </pivotField>
    <pivotField dataField="1" showAll="0"/>
    <pivotField showAll="0"/>
    <pivotField showAll="0"/>
    <pivotField showAll="0"/>
    <pivotField showAll="0"/>
  </pivotFields>
  <rowFields count="1">
    <field x="3"/>
  </rowFields>
  <rowItems count="3">
    <i>
      <x v="2"/>
    </i>
    <i>
      <x/>
    </i>
    <i t="grand">
      <x/>
    </i>
  </rowItems>
  <colItems count="1">
    <i/>
  </colItems>
  <dataFields count="1">
    <dataField name="Total Purchase" fld="8" baseField="3" baseItem="1"/>
  </dataFields>
  <formats count="6">
    <format dxfId="75">
      <pivotArea collapsedLevelsAreSubtotals="1" fieldPosition="0">
        <references count="1">
          <reference field="3" count="0"/>
        </references>
      </pivotArea>
    </format>
    <format dxfId="74">
      <pivotArea field="3" type="button" dataOnly="0" labelOnly="1" outline="0" axis="axisRow" fieldPosition="0"/>
    </format>
    <format dxfId="73">
      <pivotArea dataOnly="0" grandRow="1" fieldPosition="0"/>
    </format>
    <format dxfId="72">
      <pivotArea collapsedLevelsAreSubtotals="1" fieldPosition="0">
        <references count="1">
          <reference field="3" count="0"/>
        </references>
      </pivotArea>
    </format>
    <format dxfId="71">
      <pivotArea dataOnly="0" labelOnly="1" fieldPosition="0">
        <references count="1">
          <reference field="3" count="0"/>
        </references>
      </pivotArea>
    </format>
    <format dxfId="7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4"/>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728EA8-F39A-445F-8D7E-66AE6242B83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2:F16" firstHeaderRow="1" firstDataRow="1" firstDataCol="1"/>
  <pivotFields count="13">
    <pivotField showAll="0"/>
    <pivotField showAll="0"/>
    <pivotField showAll="0"/>
    <pivotField showAll="0">
      <items count="6">
        <item x="1"/>
        <item h="1" x="3"/>
        <item x="4"/>
        <item h="1" x="0"/>
        <item h="1" x="2"/>
        <item t="default"/>
      </items>
    </pivotField>
    <pivotField showAll="0"/>
    <pivotField showAll="0"/>
    <pivotField showAll="0"/>
    <pivotField axis="axisRow" showAll="0">
      <items count="6">
        <item h="1" x="2"/>
        <item h="1" x="0"/>
        <item x="3"/>
        <item x="4"/>
        <item x="1"/>
        <item t="default"/>
      </items>
    </pivotField>
    <pivotField showAll="0"/>
    <pivotField showAll="0"/>
    <pivotField showAll="0"/>
    <pivotField showAll="0"/>
    <pivotField dataField="1" showAll="0"/>
  </pivotFields>
  <rowFields count="1">
    <field x="7"/>
  </rowFields>
  <rowItems count="4">
    <i>
      <x v="2"/>
    </i>
    <i>
      <x v="3"/>
    </i>
    <i>
      <x v="4"/>
    </i>
    <i t="grand">
      <x/>
    </i>
  </rowItems>
  <colItems count="1">
    <i/>
  </colItems>
  <dataFields count="1">
    <dataField name="Average of Satisfaction_Score" fld="12" subtotal="average" baseField="7" baseItem="4" numFmtId="2"/>
  </dataFields>
  <formats count="1">
    <format dxfId="76">
      <pivotArea outline="0" collapsedLevelsAreSubtotals="1" fieldPosition="0"/>
    </format>
  </formats>
  <chartFormats count="12">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7" count="1" selected="0">
            <x v="0"/>
          </reference>
        </references>
      </pivotArea>
    </chartFormat>
    <chartFormat chart="0" format="17">
      <pivotArea type="data" outline="0" fieldPosition="0">
        <references count="2">
          <reference field="4294967294" count="1" selected="0">
            <x v="0"/>
          </reference>
          <reference field="7" count="1" selected="0">
            <x v="1"/>
          </reference>
        </references>
      </pivotArea>
    </chartFormat>
    <chartFormat chart="0" format="18">
      <pivotArea type="data" outline="0" fieldPosition="0">
        <references count="2">
          <reference field="4294967294" count="1" selected="0">
            <x v="0"/>
          </reference>
          <reference field="7" count="1" selected="0">
            <x v="2"/>
          </reference>
        </references>
      </pivotArea>
    </chartFormat>
    <chartFormat chart="0" format="19">
      <pivotArea type="data" outline="0" fieldPosition="0">
        <references count="2">
          <reference field="4294967294" count="1" selected="0">
            <x v="0"/>
          </reference>
          <reference field="7" count="1" selected="0">
            <x v="3"/>
          </reference>
        </references>
      </pivotArea>
    </chartFormat>
    <chartFormat chart="0" format="20">
      <pivotArea type="data" outline="0" fieldPosition="0">
        <references count="2">
          <reference field="4294967294" count="1" selected="0">
            <x v="0"/>
          </reference>
          <reference field="7" count="1" selected="0">
            <x v="4"/>
          </reference>
        </references>
      </pivotArea>
    </chartFormat>
    <chartFormat chart="3" format="27" series="1">
      <pivotArea type="data" outline="0" fieldPosition="0">
        <references count="1">
          <reference field="4294967294" count="1" selected="0">
            <x v="0"/>
          </reference>
        </references>
      </pivotArea>
    </chartFormat>
    <chartFormat chart="3" format="28">
      <pivotArea type="data" outline="0" fieldPosition="0">
        <references count="2">
          <reference field="4294967294" count="1" selected="0">
            <x v="0"/>
          </reference>
          <reference field="7" count="1" selected="0">
            <x v="0"/>
          </reference>
        </references>
      </pivotArea>
    </chartFormat>
    <chartFormat chart="3" format="29">
      <pivotArea type="data" outline="0" fieldPosition="0">
        <references count="2">
          <reference field="4294967294" count="1" selected="0">
            <x v="0"/>
          </reference>
          <reference field="7" count="1" selected="0">
            <x v="1"/>
          </reference>
        </references>
      </pivotArea>
    </chartFormat>
    <chartFormat chart="3" format="30">
      <pivotArea type="data" outline="0" fieldPosition="0">
        <references count="2">
          <reference field="4294967294" count="1" selected="0">
            <x v="0"/>
          </reference>
          <reference field="7" count="1" selected="0">
            <x v="2"/>
          </reference>
        </references>
      </pivotArea>
    </chartFormat>
    <chartFormat chart="3" format="31">
      <pivotArea type="data" outline="0" fieldPosition="0">
        <references count="2">
          <reference field="4294967294" count="1" selected="0">
            <x v="0"/>
          </reference>
          <reference field="7" count="1" selected="0">
            <x v="3"/>
          </reference>
        </references>
      </pivotArea>
    </chartFormat>
    <chartFormat chart="3" format="3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81FDBF-E1AC-4FEB-89A2-8CC82783C3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7" firstHeaderRow="1" firstDataRow="1" firstDataCol="1"/>
  <pivotFields count="13">
    <pivotField showAll="0"/>
    <pivotField showAll="0"/>
    <pivotField showAll="0"/>
    <pivotField showAll="0">
      <items count="6">
        <item x="1"/>
        <item h="1" x="3"/>
        <item x="4"/>
        <item h="1" x="0"/>
        <item h="1" x="2"/>
        <item t="default"/>
      </items>
    </pivotField>
    <pivotField showAll="0"/>
    <pivotField showAll="0"/>
    <pivotField showAll="0"/>
    <pivotField showAll="0">
      <items count="6">
        <item h="1" x="2"/>
        <item h="1" x="0"/>
        <item x="3"/>
        <item x="4"/>
        <item x="1"/>
        <item t="default"/>
      </items>
    </pivotField>
    <pivotField dataField="1" showAll="0"/>
    <pivotField axis="axisRow" showAll="0">
      <items count="4">
        <item x="0"/>
        <item x="2"/>
        <item x="1"/>
        <item t="default"/>
      </items>
    </pivotField>
    <pivotField showAll="0"/>
    <pivotField showAll="0"/>
    <pivotField showAll="0"/>
  </pivotFields>
  <rowFields count="1">
    <field x="9"/>
  </rowFields>
  <rowItems count="4">
    <i>
      <x/>
    </i>
    <i>
      <x v="1"/>
    </i>
    <i>
      <x v="2"/>
    </i>
    <i t="grand">
      <x/>
    </i>
  </rowItems>
  <colItems count="1">
    <i/>
  </colItems>
  <dataFields count="1">
    <dataField name="Sum of Purchase_Amount" fld="8" baseField="0" baseItem="0"/>
  </dataFields>
  <chartFormats count="16">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9"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9" count="1" selected="0">
            <x v="0"/>
          </reference>
        </references>
      </pivotArea>
    </chartFormat>
    <chartFormat chart="5" format="7">
      <pivotArea type="data" outline="0" fieldPosition="0">
        <references count="2">
          <reference field="4294967294" count="1" selected="0">
            <x v="0"/>
          </reference>
          <reference field="9" count="1" selected="0">
            <x v="1"/>
          </reference>
        </references>
      </pivotArea>
    </chartFormat>
    <chartFormat chart="5" format="8">
      <pivotArea type="data" outline="0" fieldPosition="0">
        <references count="2">
          <reference field="4294967294" count="1" selected="0">
            <x v="0"/>
          </reference>
          <reference field="9" count="1" selected="0">
            <x v="2"/>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6706BE-C3EF-43AC-BC96-AD3FC4FB4C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13">
    <pivotField showAll="0"/>
    <pivotField showAll="0"/>
    <pivotField showAll="0"/>
    <pivotField showAll="0">
      <items count="6">
        <item x="1"/>
        <item h="1" x="3"/>
        <item x="4"/>
        <item h="1" x="0"/>
        <item h="1" x="2"/>
        <item t="default"/>
      </items>
    </pivotField>
    <pivotField showAll="0"/>
    <pivotField showAll="0"/>
    <pivotField showAll="0"/>
    <pivotField showAll="0">
      <items count="6">
        <item h="1" x="2"/>
        <item h="1" x="0"/>
        <item x="3"/>
        <item x="4"/>
        <item x="1"/>
        <item t="default"/>
      </items>
    </pivotField>
    <pivotField dataField="1"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3">
    <i>
      <x v="1"/>
    </i>
    <i>
      <x/>
    </i>
    <i t="grand">
      <x/>
    </i>
  </rowItems>
  <colItems count="1">
    <i/>
  </colItems>
  <dataFields count="1">
    <dataField name="Sum of Purchase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F1A91A-7FFB-4C20-8508-4A3118CBE6B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2:N6" firstHeaderRow="1" firstDataRow="1" firstDataCol="1"/>
  <pivotFields count="13">
    <pivotField showAll="0"/>
    <pivotField showAll="0"/>
    <pivotField showAll="0"/>
    <pivotField showAll="0">
      <items count="6">
        <item x="1"/>
        <item h="1" x="3"/>
        <item x="4"/>
        <item h="1" x="0"/>
        <item h="1" x="2"/>
        <item t="default"/>
      </items>
    </pivotField>
    <pivotField showAll="0"/>
    <pivotField showAll="0"/>
    <pivotField showAll="0"/>
    <pivotField axis="axisRow" showAll="0">
      <items count="6">
        <item h="1" x="2"/>
        <item h="1" x="0"/>
        <item x="3"/>
        <item x="4"/>
        <item x="1"/>
        <item t="default"/>
      </items>
    </pivotField>
    <pivotField dataField="1" showAll="0"/>
    <pivotField showAll="0"/>
    <pivotField showAll="0"/>
    <pivotField showAll="0"/>
    <pivotField showAll="0"/>
  </pivotFields>
  <rowFields count="1">
    <field x="7"/>
  </rowFields>
  <rowItems count="4">
    <i>
      <x v="2"/>
    </i>
    <i>
      <x v="3"/>
    </i>
    <i>
      <x v="4"/>
    </i>
    <i t="grand">
      <x/>
    </i>
  </rowItems>
  <colItems count="1">
    <i/>
  </colItems>
  <dataFields count="1">
    <dataField name="Sum of Purchase_Amount" fld="8" baseField="0" baseItem="0"/>
  </dataFields>
  <chartFormats count="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4"/>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A08890-E4CF-4CF0-99C0-63736BABC97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0:B33" firstHeaderRow="1" firstDataRow="1" firstDataCol="1"/>
  <pivotFields count="13">
    <pivotField dataField="1" showAll="0"/>
    <pivotField axis="axisRow" showAll="0">
      <items count="3">
        <item x="1"/>
        <item x="0"/>
        <item t="default"/>
      </items>
    </pivotField>
    <pivotField showAll="0"/>
    <pivotField showAll="0">
      <items count="6">
        <item x="1"/>
        <item h="1" x="3"/>
        <item x="4"/>
        <item h="1" x="0"/>
        <item h="1" x="2"/>
        <item t="default"/>
      </items>
    </pivotField>
    <pivotField showAll="0"/>
    <pivotField showAll="0"/>
    <pivotField showAll="0"/>
    <pivotField showAll="0">
      <items count="6">
        <item h="1" x="2"/>
        <item h="1" x="0"/>
        <item x="3"/>
        <item x="4"/>
        <item x="1"/>
        <item t="default"/>
      </items>
    </pivotField>
    <pivotField showAll="0"/>
    <pivotField showAll="0"/>
    <pivotField showAll="0"/>
    <pivotField showAll="0"/>
    <pivotField showAll="0"/>
  </pivotFields>
  <rowFields count="1">
    <field x="1"/>
  </rowFields>
  <rowItems count="3">
    <i>
      <x/>
    </i>
    <i>
      <x v="1"/>
    </i>
    <i t="grand">
      <x/>
    </i>
  </rowItems>
  <colItems count="1">
    <i/>
  </colItems>
  <dataFields count="1">
    <dataField name="Count of Customer_ID" fld="0" subtotal="count" baseField="0" baseItem="0"/>
  </dataFields>
  <chartFormats count="6">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1" count="1" selected="0">
            <x v="0"/>
          </reference>
        </references>
      </pivotArea>
    </chartFormat>
    <chartFormat chart="0" format="17">
      <pivotArea type="data" outline="0" fieldPosition="0">
        <references count="2">
          <reference field="4294967294" count="1" selected="0">
            <x v="0"/>
          </reference>
          <reference field="1" count="1" selected="0">
            <x v="1"/>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1" count="1" selected="0">
            <x v="0"/>
          </reference>
        </references>
      </pivotArea>
    </chartFormat>
    <chartFormat chart="3" format="2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D3E784-E4EA-4F08-B651-FDA2097A1D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y">
  <location ref="A3:B7" firstHeaderRow="1" firstDataRow="1" firstDataCol="1"/>
  <pivotFields count="13">
    <pivotField showAll="0"/>
    <pivotField showAll="0"/>
    <pivotField showAll="0"/>
    <pivotField showAll="0">
      <items count="6">
        <item x="1"/>
        <item h="1" x="3"/>
        <item x="4"/>
        <item h="1" x="0"/>
        <item h="1" x="2"/>
        <item t="default"/>
      </items>
    </pivotField>
    <pivotField showAll="0"/>
    <pivotField showAll="0"/>
    <pivotField showAll="0"/>
    <pivotField axis="axisRow" showAll="0" sortType="descending">
      <items count="6">
        <item h="1" x="2"/>
        <item h="1" x="0"/>
        <item x="3"/>
        <item x="4"/>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7"/>
  </rowFields>
  <rowItems count="4">
    <i>
      <x v="2"/>
    </i>
    <i>
      <x v="4"/>
    </i>
    <i>
      <x v="3"/>
    </i>
    <i t="grand">
      <x/>
    </i>
  </rowItems>
  <colItems count="1">
    <i/>
  </colItems>
  <dataFields count="1">
    <dataField name="Total Amount" fld="8" baseField="0" baseItem="0"/>
  </dataFields>
  <formats count="28">
    <format dxfId="104">
      <pivotArea type="all" dataOnly="0" outline="0" fieldPosition="0"/>
    </format>
    <format dxfId="103">
      <pivotArea outline="0" collapsedLevelsAreSubtotals="1" fieldPosition="0"/>
    </format>
    <format dxfId="102">
      <pivotArea field="7" type="button" dataOnly="0" labelOnly="1" outline="0" axis="axisRow" fieldPosition="0"/>
    </format>
    <format dxfId="101">
      <pivotArea dataOnly="0" labelOnly="1" fieldPosition="0">
        <references count="1">
          <reference field="7" count="0"/>
        </references>
      </pivotArea>
    </format>
    <format dxfId="100">
      <pivotArea dataOnly="0" labelOnly="1" grandRow="1" outline="0" fieldPosition="0"/>
    </format>
    <format dxfId="99">
      <pivotArea dataOnly="0" labelOnly="1" outline="0" axis="axisValues" fieldPosition="0"/>
    </format>
    <format dxfId="98">
      <pivotArea grandRow="1" outline="0" collapsedLevelsAreSubtotals="1" fieldPosition="0"/>
    </format>
    <format dxfId="97">
      <pivotArea dataOnly="0" labelOnly="1" grandRow="1" outline="0" fieldPosition="0"/>
    </format>
    <format dxfId="96">
      <pivotArea grandRow="1" outline="0" collapsedLevelsAreSubtotals="1" fieldPosition="0"/>
    </format>
    <format dxfId="95">
      <pivotArea dataOnly="0" labelOnly="1" grandRow="1" outline="0" fieldPosition="0"/>
    </format>
    <format dxfId="94">
      <pivotArea type="all" dataOnly="0" outline="0" fieldPosition="0"/>
    </format>
    <format dxfId="93">
      <pivotArea outline="0" collapsedLevelsAreSubtotals="1" fieldPosition="0"/>
    </format>
    <format dxfId="92">
      <pivotArea field="7" type="button" dataOnly="0" labelOnly="1" outline="0" axis="axisRow" fieldPosition="0"/>
    </format>
    <format dxfId="91">
      <pivotArea dataOnly="0" labelOnly="1" fieldPosition="0">
        <references count="1">
          <reference field="7" count="0"/>
        </references>
      </pivotArea>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7" type="button" dataOnly="0" labelOnly="1" outline="0" axis="axisRow" fieldPosition="0"/>
    </format>
    <format dxfId="85">
      <pivotArea dataOnly="0" labelOnly="1" fieldPosition="0">
        <references count="1">
          <reference field="7"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7" type="button" dataOnly="0" labelOnly="1" outline="0" axis="axisRow" fieldPosition="0"/>
    </format>
    <format dxfId="79">
      <pivotArea dataOnly="0" labelOnly="1" fieldPosition="0">
        <references count="1">
          <reference field="7" count="0"/>
        </references>
      </pivotArea>
    </format>
    <format dxfId="78">
      <pivotArea dataOnly="0" labelOnly="1" grandRow="1" outline="0" fieldPosition="0"/>
    </format>
    <format dxfId="77">
      <pivotArea dataOnly="0" labelOnly="1" outline="0" axis="axisValues" fieldPosition="0"/>
    </format>
  </formats>
  <chartFormats count="18">
    <chartFormat chart="9" format="27" series="1">
      <pivotArea type="data" outline="0" fieldPosition="0">
        <references count="1">
          <reference field="4294967294" count="1" selected="0">
            <x v="0"/>
          </reference>
        </references>
      </pivotArea>
    </chartFormat>
    <chartFormat chart="9" format="28">
      <pivotArea type="data" outline="0" fieldPosition="0">
        <references count="2">
          <reference field="4294967294" count="1" selected="0">
            <x v="0"/>
          </reference>
          <reference field="7" count="1" selected="0">
            <x v="2"/>
          </reference>
        </references>
      </pivotArea>
    </chartFormat>
    <chartFormat chart="9" format="29">
      <pivotArea type="data" outline="0" fieldPosition="0">
        <references count="2">
          <reference field="4294967294" count="1" selected="0">
            <x v="0"/>
          </reference>
          <reference field="7" count="1" selected="0">
            <x v="1"/>
          </reference>
        </references>
      </pivotArea>
    </chartFormat>
    <chartFormat chart="9" format="30">
      <pivotArea type="data" outline="0" fieldPosition="0">
        <references count="2">
          <reference field="4294967294" count="1" selected="0">
            <x v="0"/>
          </reference>
          <reference field="7" count="1" selected="0">
            <x v="4"/>
          </reference>
        </references>
      </pivotArea>
    </chartFormat>
    <chartFormat chart="9" format="31">
      <pivotArea type="data" outline="0" fieldPosition="0">
        <references count="2">
          <reference field="4294967294" count="1" selected="0">
            <x v="0"/>
          </reference>
          <reference field="7" count="1" selected="0">
            <x v="0"/>
          </reference>
        </references>
      </pivotArea>
    </chartFormat>
    <chartFormat chart="9" format="32">
      <pivotArea type="data" outline="0" fieldPosition="0">
        <references count="2">
          <reference field="4294967294" count="1" selected="0">
            <x v="0"/>
          </reference>
          <reference field="7" count="1" selected="0">
            <x v="3"/>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7" count="1" selected="0">
            <x v="2"/>
          </reference>
        </references>
      </pivotArea>
    </chartFormat>
    <chartFormat chart="12" format="17">
      <pivotArea type="data" outline="0" fieldPosition="0">
        <references count="2">
          <reference field="4294967294" count="1" selected="0">
            <x v="0"/>
          </reference>
          <reference field="7" count="1" selected="0">
            <x v="1"/>
          </reference>
        </references>
      </pivotArea>
    </chartFormat>
    <chartFormat chart="12" format="18">
      <pivotArea type="data" outline="0" fieldPosition="0">
        <references count="2">
          <reference field="4294967294" count="1" selected="0">
            <x v="0"/>
          </reference>
          <reference field="7" count="1" selected="0">
            <x v="0"/>
          </reference>
        </references>
      </pivotArea>
    </chartFormat>
    <chartFormat chart="12" format="19">
      <pivotArea type="data" outline="0" fieldPosition="0">
        <references count="2">
          <reference field="4294967294" count="1" selected="0">
            <x v="0"/>
          </reference>
          <reference field="7" count="1" selected="0">
            <x v="4"/>
          </reference>
        </references>
      </pivotArea>
    </chartFormat>
    <chartFormat chart="12" format="20">
      <pivotArea type="data" outline="0" fieldPosition="0">
        <references count="2">
          <reference field="4294967294" count="1" selected="0">
            <x v="0"/>
          </reference>
          <reference field="7" count="1" selected="0">
            <x v="3"/>
          </reference>
        </references>
      </pivotArea>
    </chartFormat>
    <chartFormat chart="15" format="27" series="1">
      <pivotArea type="data" outline="0" fieldPosition="0">
        <references count="1">
          <reference field="4294967294" count="1" selected="0">
            <x v="0"/>
          </reference>
        </references>
      </pivotArea>
    </chartFormat>
    <chartFormat chart="15" format="28">
      <pivotArea type="data" outline="0" fieldPosition="0">
        <references count="2">
          <reference field="4294967294" count="1" selected="0">
            <x v="0"/>
          </reference>
          <reference field="7" count="1" selected="0">
            <x v="2"/>
          </reference>
        </references>
      </pivotArea>
    </chartFormat>
    <chartFormat chart="15" format="29">
      <pivotArea type="data" outline="0" fieldPosition="0">
        <references count="2">
          <reference field="4294967294" count="1" selected="0">
            <x v="0"/>
          </reference>
          <reference field="7" count="1" selected="0">
            <x v="1"/>
          </reference>
        </references>
      </pivotArea>
    </chartFormat>
    <chartFormat chart="15" format="30">
      <pivotArea type="data" outline="0" fieldPosition="0">
        <references count="2">
          <reference field="4294967294" count="1" selected="0">
            <x v="0"/>
          </reference>
          <reference field="7" count="1" selected="0">
            <x v="0"/>
          </reference>
        </references>
      </pivotArea>
    </chartFormat>
    <chartFormat chart="15" format="31">
      <pivotArea type="data" outline="0" fieldPosition="0">
        <references count="2">
          <reference field="4294967294" count="1" selected="0">
            <x v="0"/>
          </reference>
          <reference field="7" count="1" selected="0">
            <x v="4"/>
          </reference>
        </references>
      </pivotArea>
    </chartFormat>
    <chartFormat chart="15" format="32">
      <pivotArea type="data" outline="0" fieldPosition="0">
        <references count="2">
          <reference field="4294967294" count="1" selected="0">
            <x v="0"/>
          </reference>
          <reference field="7" count="1" selected="0">
            <x v="3"/>
          </reference>
        </references>
      </pivotArea>
    </chartFormat>
  </chartFormats>
  <pivotTableStyleInfo name="PivotStyleDark2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D26276-86AD-4534-A5F0-B587B4DEB8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49:G79" firstHeaderRow="1" firstDataRow="1" firstDataCol="1"/>
  <pivotFields count="13">
    <pivotField showAll="0"/>
    <pivotField showAll="0"/>
    <pivotField showAll="0"/>
    <pivotField showAll="0">
      <items count="6">
        <item x="1"/>
        <item h="1" x="3"/>
        <item x="4"/>
        <item h="1" x="0"/>
        <item h="1" x="2"/>
        <item t="default"/>
      </items>
    </pivotField>
    <pivotField showAll="0"/>
    <pivotField showAll="0"/>
    <pivotField axis="axisRow" showAll="0" sortType="ascending">
      <items count="129">
        <item x="115"/>
        <item x="87"/>
        <item x="9"/>
        <item x="117"/>
        <item x="23"/>
        <item x="28"/>
        <item x="7"/>
        <item x="61"/>
        <item x="108"/>
        <item x="32"/>
        <item x="74"/>
        <item x="86"/>
        <item x="62"/>
        <item x="121"/>
        <item x="106"/>
        <item x="112"/>
        <item x="67"/>
        <item x="76"/>
        <item x="3"/>
        <item x="92"/>
        <item x="15"/>
        <item x="1"/>
        <item x="54"/>
        <item x="57"/>
        <item x="85"/>
        <item x="116"/>
        <item x="31"/>
        <item x="68"/>
        <item x="8"/>
        <item x="81"/>
        <item x="45"/>
        <item x="53"/>
        <item x="43"/>
        <item x="60"/>
        <item x="47"/>
        <item x="119"/>
        <item x="94"/>
        <item x="101"/>
        <item x="35"/>
        <item x="4"/>
        <item x="5"/>
        <item x="110"/>
        <item x="58"/>
        <item x="13"/>
        <item x="97"/>
        <item x="19"/>
        <item x="83"/>
        <item x="39"/>
        <item x="40"/>
        <item x="95"/>
        <item x="77"/>
        <item x="96"/>
        <item x="126"/>
        <item x="84"/>
        <item x="30"/>
        <item x="55"/>
        <item x="80"/>
        <item x="0"/>
        <item x="89"/>
        <item x="18"/>
        <item x="78"/>
        <item x="14"/>
        <item x="98"/>
        <item x="21"/>
        <item x="91"/>
        <item x="75"/>
        <item x="105"/>
        <item x="33"/>
        <item x="63"/>
        <item x="51"/>
        <item x="123"/>
        <item x="6"/>
        <item x="25"/>
        <item x="59"/>
        <item x="104"/>
        <item x="109"/>
        <item x="27"/>
        <item x="99"/>
        <item x="20"/>
        <item x="10"/>
        <item x="24"/>
        <item x="56"/>
        <item x="16"/>
        <item x="2"/>
        <item x="72"/>
        <item x="114"/>
        <item x="90"/>
        <item x="66"/>
        <item x="113"/>
        <item x="82"/>
        <item x="125"/>
        <item x="17"/>
        <item x="37"/>
        <item x="103"/>
        <item x="120"/>
        <item x="44"/>
        <item x="107"/>
        <item x="48"/>
        <item x="93"/>
        <item x="49"/>
        <item x="50"/>
        <item x="52"/>
        <item x="12"/>
        <item x="69"/>
        <item x="73"/>
        <item x="11"/>
        <item x="102"/>
        <item x="36"/>
        <item x="71"/>
        <item x="22"/>
        <item x="41"/>
        <item x="65"/>
        <item x="111"/>
        <item x="64"/>
        <item x="70"/>
        <item x="88"/>
        <item x="26"/>
        <item x="42"/>
        <item x="100"/>
        <item x="29"/>
        <item x="79"/>
        <item x="34"/>
        <item x="118"/>
        <item x="122"/>
        <item x="46"/>
        <item x="124"/>
        <item x="127"/>
        <item x="38"/>
        <item t="default"/>
      </items>
    </pivotField>
    <pivotField showAll="0" sortType="descending">
      <items count="6">
        <item h="1" x="2"/>
        <item h="1" x="0"/>
        <item x="3"/>
        <item x="4"/>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6"/>
  </rowFields>
  <rowItems count="30">
    <i>
      <x v="1"/>
    </i>
    <i>
      <x v="4"/>
    </i>
    <i>
      <x v="12"/>
    </i>
    <i>
      <x v="15"/>
    </i>
    <i>
      <x v="20"/>
    </i>
    <i>
      <x v="21"/>
    </i>
    <i>
      <x v="23"/>
    </i>
    <i>
      <x v="24"/>
    </i>
    <i>
      <x v="42"/>
    </i>
    <i>
      <x v="49"/>
    </i>
    <i>
      <x v="51"/>
    </i>
    <i>
      <x v="56"/>
    </i>
    <i>
      <x v="58"/>
    </i>
    <i>
      <x v="61"/>
    </i>
    <i>
      <x v="74"/>
    </i>
    <i>
      <x v="75"/>
    </i>
    <i>
      <x v="76"/>
    </i>
    <i>
      <x v="77"/>
    </i>
    <i>
      <x v="79"/>
    </i>
    <i>
      <x v="80"/>
    </i>
    <i>
      <x v="85"/>
    </i>
    <i>
      <x v="95"/>
    </i>
    <i>
      <x v="101"/>
    </i>
    <i>
      <x v="105"/>
    </i>
    <i>
      <x v="109"/>
    </i>
    <i>
      <x v="111"/>
    </i>
    <i>
      <x v="115"/>
    </i>
    <i>
      <x v="121"/>
    </i>
    <i>
      <x v="125"/>
    </i>
    <i t="grand">
      <x/>
    </i>
  </rowItems>
  <colItems count="1">
    <i/>
  </colItems>
  <dataFields count="1">
    <dataField name="Sum of Purchase_Amount" fld="8"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A0DC87-0696-4DDC-BF5F-C8314D11845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101" firstHeaderRow="1" firstDataRow="1" firstDataCol="1"/>
  <pivotFields count="13">
    <pivotField axis="axisRow" showAll="0" sortType="descending">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autoSortScope>
        <pivotArea dataOnly="0" outline="0" fieldPosition="0">
          <references count="1">
            <reference field="4294967294" count="1" selected="0">
              <x v="0"/>
            </reference>
          </references>
        </pivotArea>
      </autoSortScope>
    </pivotField>
    <pivotField showAll="0"/>
    <pivotField axis="axisRow" showAll="0">
      <items count="42">
        <item x="16"/>
        <item x="0"/>
        <item x="25"/>
        <item x="9"/>
        <item x="7"/>
        <item x="35"/>
        <item x="6"/>
        <item x="29"/>
        <item x="39"/>
        <item x="22"/>
        <item x="8"/>
        <item x="33"/>
        <item x="24"/>
        <item x="15"/>
        <item x="37"/>
        <item x="18"/>
        <item x="34"/>
        <item x="40"/>
        <item x="17"/>
        <item x="12"/>
        <item x="31"/>
        <item x="27"/>
        <item x="36"/>
        <item x="2"/>
        <item x="13"/>
        <item x="5"/>
        <item x="3"/>
        <item x="28"/>
        <item x="11"/>
        <item x="32"/>
        <item x="4"/>
        <item x="38"/>
        <item x="14"/>
        <item x="10"/>
        <item x="21"/>
        <item x="30"/>
        <item x="1"/>
        <item x="19"/>
        <item x="23"/>
        <item x="26"/>
        <item x="20"/>
        <item t="default"/>
      </items>
    </pivotField>
    <pivotField showAll="0">
      <items count="6">
        <item x="1"/>
        <item h="1" x="3"/>
        <item x="4"/>
        <item h="1" x="0"/>
        <item h="1" x="2"/>
        <item t="default"/>
      </items>
    </pivotField>
    <pivotField showAll="0"/>
    <pivotField showAll="0"/>
    <pivotField showAll="0"/>
    <pivotField showAll="0" sortType="descending">
      <items count="6">
        <item h="1" x="2"/>
        <item h="1" x="0"/>
        <item x="3"/>
        <item x="4"/>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2">
    <field x="0"/>
    <field x="2"/>
  </rowFields>
  <rowItems count="63">
    <i>
      <x v="27"/>
    </i>
    <i r="1">
      <x v="32"/>
    </i>
    <i>
      <x v="71"/>
    </i>
    <i r="1">
      <x v="37"/>
    </i>
    <i>
      <x v="40"/>
    </i>
    <i r="1">
      <x v="15"/>
    </i>
    <i>
      <x v="95"/>
    </i>
    <i r="1">
      <x v="32"/>
    </i>
    <i>
      <x v="114"/>
    </i>
    <i r="1">
      <x v="6"/>
    </i>
    <i>
      <x v="144"/>
    </i>
    <i r="1">
      <x v="17"/>
    </i>
    <i>
      <x v="121"/>
    </i>
    <i r="1">
      <x v="6"/>
    </i>
    <i>
      <x v="24"/>
    </i>
    <i r="1">
      <x v="18"/>
    </i>
    <i>
      <x v="61"/>
    </i>
    <i r="1">
      <x v="20"/>
    </i>
    <i>
      <x v="55"/>
    </i>
    <i r="1">
      <x v="7"/>
    </i>
    <i>
      <x v="11"/>
    </i>
    <i r="1">
      <x v="28"/>
    </i>
    <i>
      <x v="23"/>
    </i>
    <i r="1">
      <x v="24"/>
    </i>
    <i>
      <x v="65"/>
    </i>
    <i r="1">
      <x v="2"/>
    </i>
    <i>
      <x v="117"/>
    </i>
    <i r="1">
      <x v="2"/>
    </i>
    <i>
      <x v="128"/>
    </i>
    <i r="1">
      <x v="26"/>
    </i>
    <i>
      <x v="97"/>
    </i>
    <i r="1">
      <x v="4"/>
    </i>
    <i>
      <x v="94"/>
    </i>
    <i r="1">
      <x v="2"/>
    </i>
    <i>
      <x v="10"/>
    </i>
    <i r="1">
      <x v="33"/>
    </i>
    <i>
      <x v="86"/>
    </i>
    <i r="1">
      <x v="34"/>
    </i>
    <i>
      <x v="131"/>
    </i>
    <i r="1">
      <x v="8"/>
    </i>
    <i>
      <x v="35"/>
    </i>
    <i r="1">
      <x v="3"/>
    </i>
    <i>
      <x v="106"/>
    </i>
    <i r="1">
      <x v="28"/>
    </i>
    <i>
      <x v="116"/>
    </i>
    <i r="1">
      <x v="2"/>
    </i>
    <i>
      <x v="60"/>
    </i>
    <i r="1">
      <x v="2"/>
    </i>
    <i>
      <x v="96"/>
    </i>
    <i r="1">
      <x v="4"/>
    </i>
    <i>
      <x v="1"/>
    </i>
    <i r="1">
      <x v="36"/>
    </i>
    <i>
      <x v="109"/>
    </i>
    <i r="1">
      <x v="26"/>
    </i>
    <i>
      <x v="133"/>
    </i>
    <i r="1">
      <x v="19"/>
    </i>
    <i>
      <x v="47"/>
    </i>
    <i r="1">
      <x/>
    </i>
    <i>
      <x v="111"/>
    </i>
    <i r="1">
      <x v="4"/>
    </i>
    <i>
      <x v="93"/>
    </i>
    <i r="1">
      <x v="2"/>
    </i>
    <i t="grand">
      <x/>
    </i>
  </rowItems>
  <colItems count="1">
    <i/>
  </colItems>
  <dataFields count="1">
    <dataField name="Sum of Purchase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EC650C-56D2-4957-9918-BD2DBA5C0A3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L21" firstHeaderRow="1" firstDataRow="1" firstDataCol="1"/>
  <pivotFields count="13">
    <pivotField showAll="0"/>
    <pivotField showAll="0"/>
    <pivotField showAll="0"/>
    <pivotField showAll="0">
      <items count="6">
        <item x="1"/>
        <item h="1" x="3"/>
        <item x="4"/>
        <item h="1" x="0"/>
        <item h="1" x="2"/>
        <item t="default"/>
      </items>
    </pivotField>
    <pivotField showAll="0"/>
    <pivotField showAll="0"/>
    <pivotField showAll="0"/>
    <pivotField showAll="0" sortType="descending">
      <items count="6">
        <item h="1" x="2"/>
        <item h="1" x="0"/>
        <item x="3"/>
        <item x="4"/>
        <item x="1"/>
        <item t="default"/>
      </items>
      <autoSortScope>
        <pivotArea dataOnly="0" outline="0" fieldPosition="0">
          <references count="1">
            <reference field="4294967294" count="1" selected="0">
              <x v="0"/>
            </reference>
          </references>
        </pivotArea>
      </autoSortScope>
    </pivotField>
    <pivotField dataField="1"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3">
    <i>
      <x/>
    </i>
    <i>
      <x v="1"/>
    </i>
    <i t="grand">
      <x/>
    </i>
  </rowItems>
  <colItems count="1">
    <i/>
  </colItems>
  <dataFields count="1">
    <dataField name="Sum of Purchase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D6FD14F-B82A-4E29-9B7A-18BCBA901C9F}" sourceName="Product_Category">
  <pivotTables>
    <pivotTable tabId="2" name="PivotTable1"/>
    <pivotTable tabId="2" name="PivotTable3"/>
    <pivotTable tabId="2" name="PivotTable4"/>
    <pivotTable tabId="2" name="PivotTable7"/>
    <pivotTable tabId="2" name="PivotTable8"/>
    <pivotTable tabId="2" name="PivotTable9"/>
    <pivotTable tabId="2" name="PivotTable2"/>
    <pivotTable tabId="2" name="PivotTable10"/>
    <pivotTable tabId="2" name="PivotTable11"/>
    <pivotTable tabId="2" name="PivotTable12"/>
    <pivotTable tabId="2" name="PivotTable5"/>
    <pivotTable tabId="2" name="PivotTable6"/>
  </pivotTables>
  <data>
    <tabular pivotCacheId="1959385321">
      <items count="5">
        <i x="2"/>
        <i x="0"/>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82BE0F6-EF96-481F-BBE2-BE35D7B5C7DC}" sourceName="City">
  <pivotTables>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2"/>
    <pivotTable tabId="2" name="PivotTable10"/>
    <pivotTable tabId="2" name="PivotTable11"/>
    <pivotTable tabId="2" name="PivotTable12"/>
  </pivotTables>
  <data>
    <tabular pivotCacheId="1959385321">
      <items count="5">
        <i x="1" s="1"/>
        <i x="3"/>
        <i x="4" s="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2F6EBD6A-947C-4E48-BD24-EB3DAD815957}" cache="Slicer_Product_Category" caption="Product_Category" style="SlicerStyleDark3" rowHeight="241300"/>
  <slicer name="City" xr10:uid="{3D24BB03-D75A-4299-B248-709A7CD4E933}" cache="Slicer_City" caption="City"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29FEA422-D511-406A-B671-35BC71DD73C5}" cache="Slicer_Product_Category" caption="Product_Category" columnCount="5" showCaption="0" style="Green Slicer Template" rowHeight="241300"/>
  <slicer name="City 1" xr10:uid="{6794FC57-677E-4A7B-ACBA-BDD384056A1A}" cache="Slicer_City" caption="City" columnCount="5" showCaption="0" style="Green Slicer Templ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18DA1-8308-4889-9310-6986F1CF3780}">
  <dimension ref="A2:P101"/>
  <sheetViews>
    <sheetView topLeftCell="F1" zoomScaleNormal="100" workbookViewId="0">
      <selection activeCell="I10" sqref="I10"/>
    </sheetView>
  </sheetViews>
  <sheetFormatPr defaultRowHeight="15" x14ac:dyDescent="0.25"/>
  <cols>
    <col min="1" max="1" width="13.140625" bestFit="1" customWidth="1"/>
    <col min="2" max="2" width="20.7109375" bestFit="1" customWidth="1"/>
    <col min="4" max="4" width="11.28515625" bestFit="1" customWidth="1"/>
    <col min="5" max="6" width="13.140625" bestFit="1" customWidth="1"/>
    <col min="7" max="8" width="24.140625" bestFit="1" customWidth="1"/>
    <col min="9" max="11" width="13.140625" bestFit="1" customWidth="1"/>
    <col min="12" max="12" width="24.140625" bestFit="1" customWidth="1"/>
    <col min="13" max="13" width="13.140625" bestFit="1" customWidth="1"/>
    <col min="14" max="14" width="24.140625" bestFit="1" customWidth="1"/>
    <col min="15" max="15" width="13.140625" bestFit="1" customWidth="1"/>
    <col min="16" max="16" width="24.140625" bestFit="1" customWidth="1"/>
  </cols>
  <sheetData>
    <row r="2" spans="1:16" x14ac:dyDescent="0.25">
      <c r="M2" s="1" t="s">
        <v>449</v>
      </c>
      <c r="N2" t="s">
        <v>448</v>
      </c>
    </row>
    <row r="3" spans="1:16" x14ac:dyDescent="0.25">
      <c r="A3" s="14" t="s">
        <v>453</v>
      </c>
      <c r="B3" s="14" t="s">
        <v>454</v>
      </c>
      <c r="D3" s="11" t="s">
        <v>455</v>
      </c>
      <c r="E3" s="9" t="s">
        <v>456</v>
      </c>
      <c r="G3" s="1" t="s">
        <v>449</v>
      </c>
      <c r="H3" t="s">
        <v>448</v>
      </c>
      <c r="J3" s="1" t="s">
        <v>449</v>
      </c>
      <c r="K3" t="s">
        <v>448</v>
      </c>
      <c r="M3" s="2" t="s">
        <v>41</v>
      </c>
      <c r="N3" s="13">
        <v>428897.78</v>
      </c>
    </row>
    <row r="4" spans="1:16" x14ac:dyDescent="0.25">
      <c r="A4" s="15" t="s">
        <v>41</v>
      </c>
      <c r="B4" s="16">
        <v>428897.78</v>
      </c>
      <c r="D4" s="10" t="s">
        <v>47</v>
      </c>
      <c r="E4" s="12">
        <v>367050.37999999995</v>
      </c>
      <c r="G4" s="2" t="s">
        <v>22</v>
      </c>
      <c r="H4" s="13">
        <v>373032.78</v>
      </c>
      <c r="J4" s="2" t="s">
        <v>20</v>
      </c>
      <c r="K4" s="13">
        <v>220170.55</v>
      </c>
      <c r="M4" s="2" t="s">
        <v>54</v>
      </c>
      <c r="N4" s="13">
        <v>62744.58</v>
      </c>
    </row>
    <row r="5" spans="1:16" x14ac:dyDescent="0.25">
      <c r="A5" s="15" t="s">
        <v>28</v>
      </c>
      <c r="B5" s="16">
        <v>179286.55999999997</v>
      </c>
      <c r="D5" s="10" t="s">
        <v>25</v>
      </c>
      <c r="E5" s="12">
        <v>303878.54000000004</v>
      </c>
      <c r="G5" s="2" t="s">
        <v>29</v>
      </c>
      <c r="H5" s="13">
        <v>297896.13999999996</v>
      </c>
      <c r="J5" s="2" t="s">
        <v>42</v>
      </c>
      <c r="K5" s="13">
        <v>201015.65999999997</v>
      </c>
      <c r="M5" s="2" t="s">
        <v>28</v>
      </c>
      <c r="N5" s="13">
        <v>179286.55999999997</v>
      </c>
    </row>
    <row r="6" spans="1:16" x14ac:dyDescent="0.25">
      <c r="A6" s="15" t="s">
        <v>54</v>
      </c>
      <c r="B6" s="16">
        <v>62744.58</v>
      </c>
      <c r="D6" s="8" t="s">
        <v>450</v>
      </c>
      <c r="E6" s="19">
        <v>670928.91999999993</v>
      </c>
      <c r="G6" s="2" t="s">
        <v>450</v>
      </c>
      <c r="H6" s="13">
        <v>670928.91999999993</v>
      </c>
      <c r="J6" s="2" t="s">
        <v>29</v>
      </c>
      <c r="K6" s="13">
        <v>249742.70999999996</v>
      </c>
      <c r="M6" s="2" t="s">
        <v>450</v>
      </c>
      <c r="N6" s="13">
        <v>670928.92000000004</v>
      </c>
    </row>
    <row r="7" spans="1:16" x14ac:dyDescent="0.25">
      <c r="A7" s="17" t="s">
        <v>450</v>
      </c>
      <c r="B7" s="18">
        <v>670928.92000000004</v>
      </c>
      <c r="J7" s="2" t="s">
        <v>450</v>
      </c>
      <c r="K7" s="13">
        <v>670928.91999999993</v>
      </c>
    </row>
    <row r="11" spans="1:16" x14ac:dyDescent="0.25">
      <c r="F11" s="7">
        <f>GETPIVOTDATA("Satisfaction_Score",$E$12)</f>
        <v>2.7419354838709675</v>
      </c>
      <c r="K11" s="1" t="s">
        <v>449</v>
      </c>
      <c r="L11" t="s">
        <v>448</v>
      </c>
    </row>
    <row r="12" spans="1:16" x14ac:dyDescent="0.25">
      <c r="E12" s="1" t="s">
        <v>449</v>
      </c>
      <c r="F12" t="s">
        <v>452</v>
      </c>
      <c r="K12" s="2" t="s">
        <v>38</v>
      </c>
      <c r="L12" s="13">
        <v>311583.69999999995</v>
      </c>
      <c r="O12" s="1" t="s">
        <v>449</v>
      </c>
      <c r="P12" t="s">
        <v>448</v>
      </c>
    </row>
    <row r="13" spans="1:16" x14ac:dyDescent="0.25">
      <c r="E13" s="2" t="s">
        <v>41</v>
      </c>
      <c r="F13" s="6">
        <v>2.8888888888888888</v>
      </c>
      <c r="K13" s="2" t="s">
        <v>16</v>
      </c>
      <c r="L13" s="13">
        <v>130498.48999999999</v>
      </c>
      <c r="O13" s="2">
        <v>51</v>
      </c>
      <c r="P13" s="13">
        <v>131391.03</v>
      </c>
    </row>
    <row r="14" spans="1:16" x14ac:dyDescent="0.25">
      <c r="E14" s="2" t="s">
        <v>54</v>
      </c>
      <c r="F14" s="6">
        <v>2.6</v>
      </c>
      <c r="K14" s="2" t="s">
        <v>51</v>
      </c>
      <c r="L14" s="13">
        <v>228846.73</v>
      </c>
      <c r="O14" s="2">
        <v>24</v>
      </c>
      <c r="P14" s="13">
        <v>91555.86</v>
      </c>
    </row>
    <row r="15" spans="1:16" x14ac:dyDescent="0.25">
      <c r="E15" s="2" t="s">
        <v>28</v>
      </c>
      <c r="F15" s="6">
        <v>2.75</v>
      </c>
      <c r="K15" s="2" t="s">
        <v>450</v>
      </c>
      <c r="L15" s="13">
        <v>670928.91999999993</v>
      </c>
      <c r="O15" s="2">
        <v>56</v>
      </c>
      <c r="P15" s="13">
        <v>72302.34</v>
      </c>
    </row>
    <row r="16" spans="1:16" x14ac:dyDescent="0.25">
      <c r="E16" s="2" t="s">
        <v>450</v>
      </c>
      <c r="F16" s="6">
        <v>2.7419354838709675</v>
      </c>
      <c r="O16" s="2">
        <v>20</v>
      </c>
      <c r="P16" s="13">
        <v>63609.049999999996</v>
      </c>
    </row>
    <row r="17" spans="1:16" x14ac:dyDescent="0.25">
      <c r="O17" s="2">
        <v>34</v>
      </c>
      <c r="P17" s="13">
        <v>51750.91</v>
      </c>
    </row>
    <row r="18" spans="1:16" x14ac:dyDescent="0.25">
      <c r="K18" s="1" t="s">
        <v>449</v>
      </c>
      <c r="L18" t="s">
        <v>448</v>
      </c>
      <c r="O18" s="2">
        <v>36</v>
      </c>
      <c r="P18" s="13">
        <v>41930.36</v>
      </c>
    </row>
    <row r="19" spans="1:16" x14ac:dyDescent="0.25">
      <c r="K19" s="2" t="s">
        <v>21</v>
      </c>
      <c r="L19" s="13">
        <v>434587.19</v>
      </c>
      <c r="O19" s="2">
        <v>47</v>
      </c>
      <c r="P19" s="13">
        <v>29488.720000000001</v>
      </c>
    </row>
    <row r="20" spans="1:16" x14ac:dyDescent="0.25">
      <c r="K20" s="2" t="s">
        <v>35</v>
      </c>
      <c r="L20" s="13">
        <v>236341.72999999998</v>
      </c>
      <c r="O20" s="2">
        <v>37</v>
      </c>
      <c r="P20" s="13">
        <v>26659.02</v>
      </c>
    </row>
    <row r="21" spans="1:16" x14ac:dyDescent="0.25">
      <c r="K21" s="2" t="s">
        <v>450</v>
      </c>
      <c r="L21" s="13">
        <v>670928.91999999993</v>
      </c>
      <c r="O21" s="2">
        <v>39</v>
      </c>
      <c r="P21" s="13">
        <v>26149.27</v>
      </c>
    </row>
    <row r="22" spans="1:16" x14ac:dyDescent="0.25">
      <c r="O22" s="2">
        <v>25</v>
      </c>
      <c r="P22" s="13">
        <v>23500.19</v>
      </c>
    </row>
    <row r="23" spans="1:16" x14ac:dyDescent="0.25">
      <c r="O23" s="2">
        <v>22</v>
      </c>
      <c r="P23" s="13">
        <v>22999.339999999997</v>
      </c>
    </row>
    <row r="24" spans="1:16" x14ac:dyDescent="0.25">
      <c r="O24" s="2">
        <v>45</v>
      </c>
      <c r="P24" s="13">
        <v>20429.98</v>
      </c>
    </row>
    <row r="25" spans="1:16" x14ac:dyDescent="0.25">
      <c r="O25" s="2">
        <v>43</v>
      </c>
      <c r="P25" s="13">
        <v>19428.91</v>
      </c>
    </row>
    <row r="26" spans="1:16" x14ac:dyDescent="0.25">
      <c r="O26" s="2">
        <v>52</v>
      </c>
      <c r="P26" s="13">
        <v>9585.5</v>
      </c>
    </row>
    <row r="27" spans="1:16" x14ac:dyDescent="0.25">
      <c r="O27" s="2">
        <v>53</v>
      </c>
      <c r="P27" s="13">
        <v>9305.7199999999993</v>
      </c>
    </row>
    <row r="28" spans="1:16" x14ac:dyDescent="0.25">
      <c r="O28" s="2">
        <v>26</v>
      </c>
      <c r="P28" s="13">
        <v>8725.23</v>
      </c>
    </row>
    <row r="29" spans="1:16" x14ac:dyDescent="0.25">
      <c r="O29" s="2">
        <v>21</v>
      </c>
      <c r="P29" s="13">
        <v>8666.18</v>
      </c>
    </row>
    <row r="30" spans="1:16" x14ac:dyDescent="0.25">
      <c r="A30" s="1" t="s">
        <v>449</v>
      </c>
      <c r="B30" t="s">
        <v>451</v>
      </c>
      <c r="O30" s="2">
        <v>55</v>
      </c>
      <c r="P30" s="13">
        <v>6370.04</v>
      </c>
    </row>
    <row r="31" spans="1:16" x14ac:dyDescent="0.25">
      <c r="A31" s="2" t="s">
        <v>24</v>
      </c>
      <c r="B31" s="13">
        <v>15</v>
      </c>
      <c r="O31" s="2">
        <v>38</v>
      </c>
      <c r="P31" s="13">
        <v>3703.96</v>
      </c>
    </row>
    <row r="32" spans="1:16" x14ac:dyDescent="0.25">
      <c r="A32" s="2" t="s">
        <v>14</v>
      </c>
      <c r="B32" s="13">
        <v>16</v>
      </c>
      <c r="O32" s="2">
        <v>18</v>
      </c>
      <c r="P32" s="13">
        <v>3377.31</v>
      </c>
    </row>
    <row r="33" spans="1:16" x14ac:dyDescent="0.25">
      <c r="A33" s="2" t="s">
        <v>450</v>
      </c>
      <c r="B33" s="13">
        <v>31</v>
      </c>
      <c r="O33" s="2" t="s">
        <v>450</v>
      </c>
      <c r="P33" s="13">
        <v>670928.92000000004</v>
      </c>
    </row>
    <row r="35" spans="1:16" x14ac:dyDescent="0.25">
      <c r="B35" s="5">
        <f>GETPIVOTDATA("Customer_ID",$A$30)</f>
        <v>31</v>
      </c>
    </row>
    <row r="38" spans="1:16" x14ac:dyDescent="0.25">
      <c r="A38" s="1" t="s">
        <v>449</v>
      </c>
      <c r="B38" t="s">
        <v>448</v>
      </c>
    </row>
    <row r="39" spans="1:16" x14ac:dyDescent="0.25">
      <c r="A39" s="2" t="s">
        <v>114</v>
      </c>
      <c r="B39" s="13">
        <v>79852.47</v>
      </c>
    </row>
    <row r="40" spans="1:16" x14ac:dyDescent="0.25">
      <c r="A40" s="3">
        <v>51</v>
      </c>
      <c r="B40" s="13">
        <v>79852.47</v>
      </c>
    </row>
    <row r="41" spans="1:16" x14ac:dyDescent="0.25">
      <c r="A41" s="2" t="s">
        <v>238</v>
      </c>
      <c r="B41" s="13">
        <v>72302.34</v>
      </c>
    </row>
    <row r="42" spans="1:16" x14ac:dyDescent="0.25">
      <c r="A42" s="3">
        <v>56</v>
      </c>
      <c r="B42" s="13">
        <v>72302.34</v>
      </c>
    </row>
    <row r="43" spans="1:16" x14ac:dyDescent="0.25">
      <c r="A43" s="2" t="s">
        <v>151</v>
      </c>
      <c r="B43" s="13">
        <v>51750.91</v>
      </c>
    </row>
    <row r="44" spans="1:16" x14ac:dyDescent="0.25">
      <c r="A44" s="3">
        <v>34</v>
      </c>
      <c r="B44" s="13">
        <v>51750.91</v>
      </c>
    </row>
    <row r="45" spans="1:16" x14ac:dyDescent="0.25">
      <c r="A45" s="2" t="s">
        <v>308</v>
      </c>
      <c r="B45" s="13">
        <v>51538.559999999998</v>
      </c>
    </row>
    <row r="46" spans="1:16" x14ac:dyDescent="0.25">
      <c r="A46" s="3">
        <v>51</v>
      </c>
      <c r="B46" s="13">
        <v>51538.559999999998</v>
      </c>
    </row>
    <row r="47" spans="1:16" x14ac:dyDescent="0.25">
      <c r="A47" s="2" t="s">
        <v>353</v>
      </c>
      <c r="B47" s="13">
        <v>51079.13</v>
      </c>
    </row>
    <row r="48" spans="1:16" x14ac:dyDescent="0.25">
      <c r="A48" s="3">
        <v>24</v>
      </c>
      <c r="B48" s="13">
        <v>51079.13</v>
      </c>
    </row>
    <row r="49" spans="1:7" x14ac:dyDescent="0.25">
      <c r="A49" s="2" t="s">
        <v>432</v>
      </c>
      <c r="B49" s="13">
        <v>41930.36</v>
      </c>
      <c r="F49" s="1" t="s">
        <v>449</v>
      </c>
      <c r="G49" t="s">
        <v>448</v>
      </c>
    </row>
    <row r="50" spans="1:7" x14ac:dyDescent="0.25">
      <c r="A50" s="3">
        <v>36</v>
      </c>
      <c r="B50" s="13">
        <v>41930.36</v>
      </c>
      <c r="F50" s="2" t="s">
        <v>304</v>
      </c>
      <c r="G50" s="13">
        <v>1869.35</v>
      </c>
    </row>
    <row r="51" spans="1:7" x14ac:dyDescent="0.25">
      <c r="A51" s="2" t="s">
        <v>370</v>
      </c>
      <c r="B51" s="13">
        <v>40476.730000000003</v>
      </c>
      <c r="F51" s="2" t="s">
        <v>104</v>
      </c>
      <c r="G51" s="13">
        <v>19428.91</v>
      </c>
    </row>
    <row r="52" spans="1:7" x14ac:dyDescent="0.25">
      <c r="A52" s="3">
        <v>24</v>
      </c>
      <c r="B52" s="13">
        <v>40476.730000000003</v>
      </c>
      <c r="F52" s="2" t="s">
        <v>224</v>
      </c>
      <c r="G52" s="13">
        <v>16467.09</v>
      </c>
    </row>
    <row r="53" spans="1:7" x14ac:dyDescent="0.25">
      <c r="A53" s="2" t="s">
        <v>105</v>
      </c>
      <c r="B53" s="13">
        <v>26659.02</v>
      </c>
      <c r="F53" s="2" t="s">
        <v>398</v>
      </c>
      <c r="G53" s="13">
        <v>8725.23</v>
      </c>
    </row>
    <row r="54" spans="1:7" x14ac:dyDescent="0.25">
      <c r="A54" s="3">
        <v>37</v>
      </c>
      <c r="B54" s="13">
        <v>26659.02</v>
      </c>
      <c r="F54" s="2" t="s">
        <v>81</v>
      </c>
      <c r="G54" s="13">
        <v>72302.34</v>
      </c>
    </row>
    <row r="55" spans="1:7" x14ac:dyDescent="0.25">
      <c r="A55" s="2" t="s">
        <v>210</v>
      </c>
      <c r="B55" s="13">
        <v>26149.27</v>
      </c>
      <c r="F55" s="2" t="s">
        <v>27</v>
      </c>
      <c r="G55" s="13">
        <v>6370.04</v>
      </c>
    </row>
    <row r="56" spans="1:7" x14ac:dyDescent="0.25">
      <c r="A56" s="3">
        <v>39</v>
      </c>
      <c r="B56" s="13">
        <v>26149.27</v>
      </c>
      <c r="F56" s="2" t="s">
        <v>209</v>
      </c>
      <c r="G56" s="13">
        <v>7726.15</v>
      </c>
    </row>
    <row r="57" spans="1:7" x14ac:dyDescent="0.25">
      <c r="A57" s="2" t="s">
        <v>194</v>
      </c>
      <c r="B57" s="13">
        <v>23500.19</v>
      </c>
      <c r="F57" s="2" t="s">
        <v>298</v>
      </c>
      <c r="G57" s="13">
        <v>7917.99</v>
      </c>
    </row>
    <row r="58" spans="1:7" x14ac:dyDescent="0.25">
      <c r="A58" s="3">
        <v>25</v>
      </c>
      <c r="B58" s="13">
        <v>23500.19</v>
      </c>
      <c r="F58" s="2" t="s">
        <v>212</v>
      </c>
      <c r="G58" s="13">
        <v>26149.27</v>
      </c>
    </row>
    <row r="59" spans="1:7" x14ac:dyDescent="0.25">
      <c r="A59" s="2" t="s">
        <v>67</v>
      </c>
      <c r="B59" s="13">
        <v>21165.15</v>
      </c>
      <c r="F59" s="2" t="s">
        <v>337</v>
      </c>
      <c r="G59" s="13">
        <v>8323.57</v>
      </c>
    </row>
    <row r="60" spans="1:7" x14ac:dyDescent="0.25">
      <c r="A60" s="3">
        <v>47</v>
      </c>
      <c r="B60" s="13">
        <v>21165.15</v>
      </c>
      <c r="F60" s="2" t="s">
        <v>342</v>
      </c>
      <c r="G60" s="13">
        <v>5568.79</v>
      </c>
    </row>
    <row r="61" spans="1:7" x14ac:dyDescent="0.25">
      <c r="A61" s="2" t="s">
        <v>102</v>
      </c>
      <c r="B61" s="13">
        <v>19428.91</v>
      </c>
      <c r="F61" s="2" t="s">
        <v>283</v>
      </c>
      <c r="G61" s="13">
        <v>9305.7199999999993</v>
      </c>
    </row>
    <row r="62" spans="1:7" x14ac:dyDescent="0.25">
      <c r="A62" s="3">
        <v>43</v>
      </c>
      <c r="B62" s="13">
        <v>19428.91</v>
      </c>
      <c r="F62" s="2" t="s">
        <v>310</v>
      </c>
      <c r="G62" s="13">
        <v>51538.559999999998</v>
      </c>
    </row>
    <row r="63" spans="1:7" x14ac:dyDescent="0.25">
      <c r="A63" s="2" t="s">
        <v>222</v>
      </c>
      <c r="B63" s="13">
        <v>16467.09</v>
      </c>
      <c r="F63" s="2" t="s">
        <v>78</v>
      </c>
      <c r="G63" s="13">
        <v>20789.54</v>
      </c>
    </row>
    <row r="64" spans="1:7" x14ac:dyDescent="0.25">
      <c r="A64" s="3">
        <v>20</v>
      </c>
      <c r="B64" s="13">
        <v>16467.09</v>
      </c>
      <c r="F64" s="2" t="s">
        <v>372</v>
      </c>
      <c r="G64" s="13">
        <v>40476.730000000003</v>
      </c>
    </row>
    <row r="65" spans="1:7" x14ac:dyDescent="0.25">
      <c r="A65" s="2" t="s">
        <v>360</v>
      </c>
      <c r="B65" s="13">
        <v>16445.009999999998</v>
      </c>
      <c r="F65" s="2" t="s">
        <v>389</v>
      </c>
      <c r="G65" s="13">
        <v>14861.19</v>
      </c>
    </row>
    <row r="66" spans="1:7" x14ac:dyDescent="0.25">
      <c r="A66" s="3">
        <v>20</v>
      </c>
      <c r="B66" s="13">
        <v>16445.009999999998</v>
      </c>
      <c r="F66" s="2" t="s">
        <v>116</v>
      </c>
      <c r="G66" s="13">
        <v>79852.47</v>
      </c>
    </row>
    <row r="67" spans="1:7" x14ac:dyDescent="0.25">
      <c r="A67" s="2" t="s">
        <v>387</v>
      </c>
      <c r="B67" s="13">
        <v>14861.19</v>
      </c>
      <c r="F67" s="2" t="s">
        <v>355</v>
      </c>
      <c r="G67" s="13">
        <v>51079.13</v>
      </c>
    </row>
    <row r="68" spans="1:7" x14ac:dyDescent="0.25">
      <c r="A68" s="3">
        <v>45</v>
      </c>
      <c r="B68" s="13">
        <v>14861.19</v>
      </c>
      <c r="F68" s="2" t="s">
        <v>66</v>
      </c>
      <c r="G68" s="13">
        <v>9585.5</v>
      </c>
    </row>
    <row r="69" spans="1:7" x14ac:dyDescent="0.25">
      <c r="A69" s="2" t="s">
        <v>313</v>
      </c>
      <c r="B69" s="13">
        <v>14292.21</v>
      </c>
      <c r="F69" s="2" t="s">
        <v>107</v>
      </c>
      <c r="G69" s="13">
        <v>26659.02</v>
      </c>
    </row>
    <row r="70" spans="1:7" x14ac:dyDescent="0.25">
      <c r="A70" s="3">
        <v>22</v>
      </c>
      <c r="B70" s="13">
        <v>14292.21</v>
      </c>
      <c r="F70" s="2" t="s">
        <v>403</v>
      </c>
      <c r="G70" s="13">
        <v>3703.96</v>
      </c>
    </row>
    <row r="71" spans="1:7" x14ac:dyDescent="0.25">
      <c r="A71" s="2" t="s">
        <v>305</v>
      </c>
      <c r="B71" s="13">
        <v>13183.46</v>
      </c>
      <c r="F71" s="2" t="s">
        <v>172</v>
      </c>
      <c r="G71" s="13">
        <v>3377.31</v>
      </c>
    </row>
    <row r="72" spans="1:7" x14ac:dyDescent="0.25">
      <c r="A72" s="3">
        <v>20</v>
      </c>
      <c r="B72" s="13">
        <v>13183.46</v>
      </c>
      <c r="F72" s="2" t="s">
        <v>196</v>
      </c>
      <c r="G72" s="13">
        <v>39945.199999999997</v>
      </c>
    </row>
    <row r="73" spans="1:7" x14ac:dyDescent="0.25">
      <c r="A73" s="2" t="s">
        <v>64</v>
      </c>
      <c r="B73" s="13">
        <v>9585.5</v>
      </c>
      <c r="F73" s="2" t="s">
        <v>69</v>
      </c>
      <c r="G73" s="13">
        <v>21165.15</v>
      </c>
    </row>
    <row r="74" spans="1:7" x14ac:dyDescent="0.25">
      <c r="A74" s="3">
        <v>52</v>
      </c>
      <c r="B74" s="13">
        <v>9585.5</v>
      </c>
      <c r="F74" s="2" t="s">
        <v>101</v>
      </c>
      <c r="G74" s="13">
        <v>51750.91</v>
      </c>
    </row>
    <row r="75" spans="1:7" x14ac:dyDescent="0.25">
      <c r="A75" s="2" t="s">
        <v>281</v>
      </c>
      <c r="B75" s="13">
        <v>9305.7199999999993</v>
      </c>
      <c r="F75" s="2" t="s">
        <v>234</v>
      </c>
      <c r="G75" s="13">
        <v>2209.8000000000002</v>
      </c>
    </row>
    <row r="76" spans="1:7" x14ac:dyDescent="0.25">
      <c r="A76" s="3">
        <v>53</v>
      </c>
      <c r="B76" s="13">
        <v>9305.7199999999993</v>
      </c>
      <c r="F76" s="2" t="s">
        <v>307</v>
      </c>
      <c r="G76" s="13">
        <v>13183.46</v>
      </c>
    </row>
    <row r="77" spans="1:7" x14ac:dyDescent="0.25">
      <c r="A77" s="2" t="s">
        <v>396</v>
      </c>
      <c r="B77" s="13">
        <v>8725.23</v>
      </c>
      <c r="F77" s="2" t="s">
        <v>139</v>
      </c>
      <c r="G77" s="13">
        <v>8666.18</v>
      </c>
    </row>
    <row r="78" spans="1:7" x14ac:dyDescent="0.25">
      <c r="A78" s="3">
        <v>26</v>
      </c>
      <c r="B78" s="13">
        <v>8725.23</v>
      </c>
      <c r="F78" s="2" t="s">
        <v>434</v>
      </c>
      <c r="G78" s="13">
        <v>41930.36</v>
      </c>
    </row>
    <row r="79" spans="1:7" x14ac:dyDescent="0.25">
      <c r="A79" s="2" t="s">
        <v>137</v>
      </c>
      <c r="B79" s="13">
        <v>8666.18</v>
      </c>
      <c r="F79" s="2" t="s">
        <v>450</v>
      </c>
      <c r="G79" s="13">
        <v>670928.92000000004</v>
      </c>
    </row>
    <row r="80" spans="1:7" x14ac:dyDescent="0.25">
      <c r="A80" s="3">
        <v>21</v>
      </c>
      <c r="B80" s="13">
        <v>8666.18</v>
      </c>
    </row>
    <row r="81" spans="1:2" x14ac:dyDescent="0.25">
      <c r="A81" s="2" t="s">
        <v>335</v>
      </c>
      <c r="B81" s="13">
        <v>8323.57</v>
      </c>
    </row>
    <row r="82" spans="1:2" x14ac:dyDescent="0.25">
      <c r="A82" s="3">
        <v>47</v>
      </c>
      <c r="B82" s="13">
        <v>8323.57</v>
      </c>
    </row>
    <row r="83" spans="1:2" x14ac:dyDescent="0.25">
      <c r="A83" s="2" t="s">
        <v>358</v>
      </c>
      <c r="B83" s="13">
        <v>7917.99</v>
      </c>
    </row>
    <row r="84" spans="1:2" x14ac:dyDescent="0.25">
      <c r="A84" s="3">
        <v>20</v>
      </c>
      <c r="B84" s="13">
        <v>7917.99</v>
      </c>
    </row>
    <row r="85" spans="1:2" x14ac:dyDescent="0.25">
      <c r="A85" s="2" t="s">
        <v>207</v>
      </c>
      <c r="B85" s="13">
        <v>7726.15</v>
      </c>
    </row>
    <row r="86" spans="1:2" x14ac:dyDescent="0.25">
      <c r="A86" s="3">
        <v>20</v>
      </c>
      <c r="B86" s="13">
        <v>7726.15</v>
      </c>
    </row>
    <row r="87" spans="1:2" x14ac:dyDescent="0.25">
      <c r="A87" s="2" t="s">
        <v>311</v>
      </c>
      <c r="B87" s="13">
        <v>6497.33</v>
      </c>
    </row>
    <row r="88" spans="1:2" x14ac:dyDescent="0.25">
      <c r="A88" s="3">
        <v>22</v>
      </c>
      <c r="B88" s="13">
        <v>6497.33</v>
      </c>
    </row>
    <row r="89" spans="1:2" x14ac:dyDescent="0.25">
      <c r="A89" s="2" t="s">
        <v>23</v>
      </c>
      <c r="B89" s="13">
        <v>6370.04</v>
      </c>
    </row>
    <row r="90" spans="1:2" x14ac:dyDescent="0.25">
      <c r="A90" s="3">
        <v>55</v>
      </c>
      <c r="B90" s="13">
        <v>6370.04</v>
      </c>
    </row>
    <row r="91" spans="1:2" x14ac:dyDescent="0.25">
      <c r="A91" s="2" t="s">
        <v>341</v>
      </c>
      <c r="B91" s="13">
        <v>5568.79</v>
      </c>
    </row>
    <row r="92" spans="1:2" x14ac:dyDescent="0.25">
      <c r="A92" s="3">
        <v>45</v>
      </c>
      <c r="B92" s="13">
        <v>5568.79</v>
      </c>
    </row>
    <row r="93" spans="1:2" x14ac:dyDescent="0.25">
      <c r="A93" s="2" t="s">
        <v>401</v>
      </c>
      <c r="B93" s="13">
        <v>3703.96</v>
      </c>
    </row>
    <row r="94" spans="1:2" x14ac:dyDescent="0.25">
      <c r="A94" s="3">
        <v>38</v>
      </c>
      <c r="B94" s="13">
        <v>3703.96</v>
      </c>
    </row>
    <row r="95" spans="1:2" x14ac:dyDescent="0.25">
      <c r="A95" s="2" t="s">
        <v>170</v>
      </c>
      <c r="B95" s="13">
        <v>3377.31</v>
      </c>
    </row>
    <row r="96" spans="1:2" x14ac:dyDescent="0.25">
      <c r="A96" s="3">
        <v>18</v>
      </c>
      <c r="B96" s="13">
        <v>3377.31</v>
      </c>
    </row>
    <row r="97" spans="1:2" x14ac:dyDescent="0.25">
      <c r="A97" s="2" t="s">
        <v>346</v>
      </c>
      <c r="B97" s="13">
        <v>2209.8000000000002</v>
      </c>
    </row>
    <row r="98" spans="1:2" x14ac:dyDescent="0.25">
      <c r="A98" s="3">
        <v>22</v>
      </c>
      <c r="B98" s="13">
        <v>2209.8000000000002</v>
      </c>
    </row>
    <row r="99" spans="1:2" x14ac:dyDescent="0.25">
      <c r="A99" s="2" t="s">
        <v>302</v>
      </c>
      <c r="B99" s="13">
        <v>1869.35</v>
      </c>
    </row>
    <row r="100" spans="1:2" x14ac:dyDescent="0.25">
      <c r="A100" s="3">
        <v>20</v>
      </c>
      <c r="B100" s="13">
        <v>1869.35</v>
      </c>
    </row>
    <row r="101" spans="1:2" x14ac:dyDescent="0.25">
      <c r="A101" s="2" t="s">
        <v>450</v>
      </c>
      <c r="B101" s="13">
        <v>670928.91999999981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AF57-1B40-4E79-A2D0-99C265B9B631}">
  <dimension ref="A1"/>
  <sheetViews>
    <sheetView tabSelected="1" zoomScaleNormal="10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topLeftCell="A132" workbookViewId="0">
      <selection activeCell="F137" sqref="F137"/>
    </sheetView>
  </sheetViews>
  <sheetFormatPr defaultRowHeight="15" x14ac:dyDescent="0.25"/>
  <cols>
    <col min="1" max="1" width="12.42578125" bestFit="1" customWidth="1"/>
    <col min="4" max="4" width="10.85546875" bestFit="1" customWidth="1"/>
    <col min="5" max="5" width="17.85546875" bestFit="1" customWidth="1"/>
    <col min="6" max="6" width="10.42578125" bestFit="1" customWidth="1"/>
    <col min="7" max="7" width="14.28515625" bestFit="1" customWidth="1"/>
    <col min="8" max="8" width="16.85546875" bestFit="1" customWidth="1"/>
    <col min="9" max="9" width="17.42578125" bestFit="1" customWidth="1"/>
    <col min="10" max="10" width="17" bestFit="1" customWidth="1"/>
    <col min="11" max="11" width="16.85546875" bestFit="1" customWidth="1"/>
    <col min="13" max="13" width="17.42578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v>19</v>
      </c>
      <c r="D2" t="s">
        <v>15</v>
      </c>
      <c r="E2" t="s">
        <v>16</v>
      </c>
      <c r="F2" t="s">
        <v>17</v>
      </c>
      <c r="G2" t="s">
        <v>18</v>
      </c>
      <c r="H2" t="s">
        <v>19</v>
      </c>
      <c r="I2" s="4">
        <v>21126.87</v>
      </c>
      <c r="J2" t="s">
        <v>20</v>
      </c>
      <c r="K2" t="s">
        <v>21</v>
      </c>
      <c r="L2" t="s">
        <v>22</v>
      </c>
      <c r="M2">
        <v>2</v>
      </c>
    </row>
    <row r="3" spans="1:13" x14ac:dyDescent="0.25">
      <c r="A3" t="s">
        <v>23</v>
      </c>
      <c r="B3" t="s">
        <v>24</v>
      </c>
      <c r="C3">
        <v>55</v>
      </c>
      <c r="D3" t="s">
        <v>25</v>
      </c>
      <c r="E3" t="s">
        <v>16</v>
      </c>
      <c r="F3" t="s">
        <v>26</v>
      </c>
      <c r="G3" t="s">
        <v>27</v>
      </c>
      <c r="H3" t="s">
        <v>28</v>
      </c>
      <c r="I3" s="4">
        <v>6370.04</v>
      </c>
      <c r="J3" t="s">
        <v>29</v>
      </c>
      <c r="K3" t="s">
        <v>21</v>
      </c>
      <c r="L3" t="s">
        <v>29</v>
      </c>
      <c r="M3">
        <v>3</v>
      </c>
    </row>
    <row r="4" spans="1:13" x14ac:dyDescent="0.25">
      <c r="A4" t="s">
        <v>30</v>
      </c>
      <c r="B4" t="s">
        <v>24</v>
      </c>
      <c r="C4">
        <v>42</v>
      </c>
      <c r="D4" t="s">
        <v>31</v>
      </c>
      <c r="E4" t="s">
        <v>16</v>
      </c>
      <c r="F4" t="s">
        <v>32</v>
      </c>
      <c r="G4" t="s">
        <v>33</v>
      </c>
      <c r="H4" t="s">
        <v>34</v>
      </c>
      <c r="I4" s="4">
        <v>21754.240000000002</v>
      </c>
      <c r="J4" t="s">
        <v>20</v>
      </c>
      <c r="K4" t="s">
        <v>35</v>
      </c>
      <c r="L4" t="s">
        <v>22</v>
      </c>
      <c r="M4">
        <v>5</v>
      </c>
    </row>
    <row r="5" spans="1:13" x14ac:dyDescent="0.25">
      <c r="A5" t="s">
        <v>36</v>
      </c>
      <c r="B5" t="s">
        <v>24</v>
      </c>
      <c r="C5">
        <v>45</v>
      </c>
      <c r="D5" t="s">
        <v>37</v>
      </c>
      <c r="E5" t="s">
        <v>38</v>
      </c>
      <c r="F5" t="s">
        <v>39</v>
      </c>
      <c r="G5" t="s">
        <v>40</v>
      </c>
      <c r="H5" t="s">
        <v>41</v>
      </c>
      <c r="I5" s="4">
        <v>79927.05</v>
      </c>
      <c r="J5" t="s">
        <v>42</v>
      </c>
      <c r="K5" t="s">
        <v>35</v>
      </c>
      <c r="L5" t="s">
        <v>22</v>
      </c>
      <c r="M5">
        <v>2</v>
      </c>
    </row>
    <row r="6" spans="1:13" x14ac:dyDescent="0.25">
      <c r="A6" t="s">
        <v>43</v>
      </c>
      <c r="B6" t="s">
        <v>24</v>
      </c>
      <c r="C6">
        <v>49</v>
      </c>
      <c r="D6" t="s">
        <v>25</v>
      </c>
      <c r="E6" t="s">
        <v>16</v>
      </c>
      <c r="F6" t="s">
        <v>44</v>
      </c>
      <c r="G6" t="s">
        <v>45</v>
      </c>
      <c r="H6" t="s">
        <v>34</v>
      </c>
      <c r="I6" s="4">
        <v>21907.29</v>
      </c>
      <c r="J6" t="s">
        <v>29</v>
      </c>
      <c r="K6" t="s">
        <v>35</v>
      </c>
      <c r="L6" t="s">
        <v>22</v>
      </c>
      <c r="M6">
        <v>2</v>
      </c>
    </row>
    <row r="7" spans="1:13" x14ac:dyDescent="0.25">
      <c r="A7" t="s">
        <v>46</v>
      </c>
      <c r="B7" t="s">
        <v>14</v>
      </c>
      <c r="C7">
        <v>44</v>
      </c>
      <c r="D7" t="s">
        <v>47</v>
      </c>
      <c r="E7" t="s">
        <v>38</v>
      </c>
      <c r="F7" t="s">
        <v>48</v>
      </c>
      <c r="G7" t="s">
        <v>49</v>
      </c>
      <c r="H7" t="s">
        <v>34</v>
      </c>
      <c r="I7" s="4">
        <v>11788.15</v>
      </c>
      <c r="J7" t="s">
        <v>29</v>
      </c>
      <c r="K7" t="s">
        <v>35</v>
      </c>
      <c r="L7" t="s">
        <v>29</v>
      </c>
      <c r="M7">
        <v>2</v>
      </c>
    </row>
    <row r="8" spans="1:13" x14ac:dyDescent="0.25">
      <c r="A8" t="s">
        <v>50</v>
      </c>
      <c r="B8" t="s">
        <v>24</v>
      </c>
      <c r="C8">
        <v>24</v>
      </c>
      <c r="D8" t="s">
        <v>37</v>
      </c>
      <c r="E8" t="s">
        <v>51</v>
      </c>
      <c r="F8" t="s">
        <v>52</v>
      </c>
      <c r="G8" t="s">
        <v>53</v>
      </c>
      <c r="H8" t="s">
        <v>54</v>
      </c>
      <c r="I8" s="4">
        <v>9828.0499999999993</v>
      </c>
      <c r="J8" t="s">
        <v>42</v>
      </c>
      <c r="K8" t="s">
        <v>21</v>
      </c>
      <c r="L8" t="s">
        <v>22</v>
      </c>
      <c r="M8">
        <v>2</v>
      </c>
    </row>
    <row r="9" spans="1:13" x14ac:dyDescent="0.25">
      <c r="A9" t="s">
        <v>55</v>
      </c>
      <c r="B9" t="s">
        <v>14</v>
      </c>
      <c r="C9">
        <v>22</v>
      </c>
      <c r="D9" t="s">
        <v>37</v>
      </c>
      <c r="E9" t="s">
        <v>38</v>
      </c>
      <c r="F9" t="s">
        <v>56</v>
      </c>
      <c r="G9" t="s">
        <v>57</v>
      </c>
      <c r="H9" t="s">
        <v>34</v>
      </c>
      <c r="I9" s="4">
        <v>17139.41</v>
      </c>
      <c r="J9" t="s">
        <v>29</v>
      </c>
      <c r="K9" t="s">
        <v>21</v>
      </c>
      <c r="L9" t="s">
        <v>22</v>
      </c>
      <c r="M9">
        <v>4</v>
      </c>
    </row>
    <row r="10" spans="1:13" x14ac:dyDescent="0.25">
      <c r="A10" t="s">
        <v>58</v>
      </c>
      <c r="B10" t="s">
        <v>14</v>
      </c>
      <c r="C10">
        <v>29</v>
      </c>
      <c r="D10" t="s">
        <v>37</v>
      </c>
      <c r="E10" t="s">
        <v>51</v>
      </c>
      <c r="F10" t="s">
        <v>59</v>
      </c>
      <c r="G10" t="s">
        <v>60</v>
      </c>
      <c r="H10" t="s">
        <v>28</v>
      </c>
      <c r="I10" s="4">
        <v>3077.18</v>
      </c>
      <c r="J10" t="s">
        <v>42</v>
      </c>
      <c r="K10" t="s">
        <v>21</v>
      </c>
      <c r="L10" t="s">
        <v>29</v>
      </c>
      <c r="M10">
        <v>3</v>
      </c>
    </row>
    <row r="11" spans="1:13" x14ac:dyDescent="0.25">
      <c r="A11" t="s">
        <v>61</v>
      </c>
      <c r="B11" t="s">
        <v>24</v>
      </c>
      <c r="C11">
        <v>21</v>
      </c>
      <c r="D11" t="s">
        <v>47</v>
      </c>
      <c r="E11" t="s">
        <v>38</v>
      </c>
      <c r="F11" t="s">
        <v>62</v>
      </c>
      <c r="G11" t="s">
        <v>63</v>
      </c>
      <c r="H11" t="s">
        <v>34</v>
      </c>
      <c r="I11" s="4">
        <v>7844.53</v>
      </c>
      <c r="J11" t="s">
        <v>42</v>
      </c>
      <c r="K11" t="s">
        <v>35</v>
      </c>
      <c r="L11" t="s">
        <v>22</v>
      </c>
      <c r="M11">
        <v>4</v>
      </c>
    </row>
    <row r="12" spans="1:13" x14ac:dyDescent="0.25">
      <c r="A12" t="s">
        <v>64</v>
      </c>
      <c r="B12" t="s">
        <v>14</v>
      </c>
      <c r="C12">
        <v>52</v>
      </c>
      <c r="D12" t="s">
        <v>25</v>
      </c>
      <c r="E12" t="s">
        <v>16</v>
      </c>
      <c r="F12" t="s">
        <v>65</v>
      </c>
      <c r="G12" t="s">
        <v>66</v>
      </c>
      <c r="H12" t="s">
        <v>54</v>
      </c>
      <c r="I12" s="4">
        <v>9585.5</v>
      </c>
      <c r="J12" t="s">
        <v>29</v>
      </c>
      <c r="K12" t="s">
        <v>35</v>
      </c>
      <c r="L12" t="s">
        <v>29</v>
      </c>
      <c r="M12">
        <v>1</v>
      </c>
    </row>
    <row r="13" spans="1:13" x14ac:dyDescent="0.25">
      <c r="A13" t="s">
        <v>67</v>
      </c>
      <c r="B13" t="s">
        <v>14</v>
      </c>
      <c r="C13">
        <v>47</v>
      </c>
      <c r="D13" t="s">
        <v>25</v>
      </c>
      <c r="E13" t="s">
        <v>16</v>
      </c>
      <c r="F13" t="s">
        <v>68</v>
      </c>
      <c r="G13" t="s">
        <v>69</v>
      </c>
      <c r="H13" t="s">
        <v>28</v>
      </c>
      <c r="I13" s="4">
        <v>21165.15</v>
      </c>
      <c r="J13" t="s">
        <v>29</v>
      </c>
      <c r="K13" t="s">
        <v>35</v>
      </c>
      <c r="L13" t="s">
        <v>22</v>
      </c>
      <c r="M13">
        <v>3</v>
      </c>
    </row>
    <row r="14" spans="1:13" x14ac:dyDescent="0.25">
      <c r="A14" t="s">
        <v>70</v>
      </c>
      <c r="B14" t="s">
        <v>14</v>
      </c>
      <c r="C14">
        <v>38</v>
      </c>
      <c r="D14" t="s">
        <v>37</v>
      </c>
      <c r="E14" t="s">
        <v>38</v>
      </c>
      <c r="F14" t="s">
        <v>71</v>
      </c>
      <c r="G14" t="s">
        <v>72</v>
      </c>
      <c r="H14" t="s">
        <v>41</v>
      </c>
      <c r="I14" s="4">
        <v>64684.35</v>
      </c>
      <c r="J14" t="s">
        <v>20</v>
      </c>
      <c r="K14" t="s">
        <v>35</v>
      </c>
      <c r="L14" t="s">
        <v>29</v>
      </c>
      <c r="M14">
        <v>3</v>
      </c>
    </row>
    <row r="15" spans="1:13" x14ac:dyDescent="0.25">
      <c r="A15" t="s">
        <v>73</v>
      </c>
      <c r="B15" t="s">
        <v>24</v>
      </c>
      <c r="C15">
        <v>43</v>
      </c>
      <c r="D15" t="s">
        <v>15</v>
      </c>
      <c r="E15" t="s">
        <v>16</v>
      </c>
      <c r="F15" t="s">
        <v>74</v>
      </c>
      <c r="G15" t="s">
        <v>75</v>
      </c>
      <c r="H15" t="s">
        <v>41</v>
      </c>
      <c r="I15" s="4">
        <v>43409.14</v>
      </c>
      <c r="J15" t="s">
        <v>20</v>
      </c>
      <c r="K15" t="s">
        <v>21</v>
      </c>
      <c r="L15" t="s">
        <v>22</v>
      </c>
      <c r="M15">
        <v>1</v>
      </c>
    </row>
    <row r="16" spans="1:13" x14ac:dyDescent="0.25">
      <c r="A16" t="s">
        <v>76</v>
      </c>
      <c r="B16" t="s">
        <v>14</v>
      </c>
      <c r="C16">
        <v>51</v>
      </c>
      <c r="D16" t="s">
        <v>25</v>
      </c>
      <c r="E16" t="s">
        <v>16</v>
      </c>
      <c r="F16" t="s">
        <v>77</v>
      </c>
      <c r="G16" t="s">
        <v>78</v>
      </c>
      <c r="H16" t="s">
        <v>34</v>
      </c>
      <c r="I16" s="4">
        <v>13271.17</v>
      </c>
      <c r="J16" t="s">
        <v>29</v>
      </c>
      <c r="K16" t="s">
        <v>21</v>
      </c>
      <c r="L16" t="s">
        <v>29</v>
      </c>
      <c r="M16">
        <v>3</v>
      </c>
    </row>
    <row r="17" spans="1:13" x14ac:dyDescent="0.25">
      <c r="A17" t="s">
        <v>79</v>
      </c>
      <c r="B17" t="s">
        <v>14</v>
      </c>
      <c r="C17">
        <v>47</v>
      </c>
      <c r="D17" t="s">
        <v>47</v>
      </c>
      <c r="E17" t="s">
        <v>51</v>
      </c>
      <c r="F17" t="s">
        <v>80</v>
      </c>
      <c r="G17" t="s">
        <v>81</v>
      </c>
      <c r="H17" t="s">
        <v>19</v>
      </c>
      <c r="I17" s="4">
        <v>25292.639999999999</v>
      </c>
      <c r="J17" t="s">
        <v>20</v>
      </c>
      <c r="K17" t="s">
        <v>35</v>
      </c>
      <c r="L17" t="s">
        <v>29</v>
      </c>
      <c r="M17">
        <v>5</v>
      </c>
    </row>
    <row r="18" spans="1:13" x14ac:dyDescent="0.25">
      <c r="A18" t="s">
        <v>82</v>
      </c>
      <c r="B18" t="s">
        <v>14</v>
      </c>
      <c r="C18">
        <v>22</v>
      </c>
      <c r="D18" t="s">
        <v>15</v>
      </c>
      <c r="E18" t="s">
        <v>51</v>
      </c>
      <c r="F18" t="s">
        <v>83</v>
      </c>
      <c r="G18" t="s">
        <v>84</v>
      </c>
      <c r="H18" t="s">
        <v>28</v>
      </c>
      <c r="I18" s="4">
        <v>18360.38</v>
      </c>
      <c r="J18" t="s">
        <v>20</v>
      </c>
      <c r="K18" t="s">
        <v>21</v>
      </c>
      <c r="L18" t="s">
        <v>22</v>
      </c>
      <c r="M18">
        <v>5</v>
      </c>
    </row>
    <row r="19" spans="1:13" x14ac:dyDescent="0.25">
      <c r="A19" t="s">
        <v>85</v>
      </c>
      <c r="B19" t="s">
        <v>14</v>
      </c>
      <c r="C19">
        <v>32</v>
      </c>
      <c r="D19" t="s">
        <v>15</v>
      </c>
      <c r="E19" t="s">
        <v>16</v>
      </c>
      <c r="F19" t="s">
        <v>86</v>
      </c>
      <c r="G19" t="s">
        <v>87</v>
      </c>
      <c r="H19" t="s">
        <v>19</v>
      </c>
      <c r="I19" s="4">
        <v>15970.45</v>
      </c>
      <c r="J19" t="s">
        <v>20</v>
      </c>
      <c r="K19" t="s">
        <v>35</v>
      </c>
      <c r="L19" t="s">
        <v>22</v>
      </c>
      <c r="M19">
        <v>3</v>
      </c>
    </row>
    <row r="20" spans="1:13" x14ac:dyDescent="0.25">
      <c r="A20" t="s">
        <v>88</v>
      </c>
      <c r="B20" t="s">
        <v>14</v>
      </c>
      <c r="C20">
        <v>44</v>
      </c>
      <c r="D20" t="s">
        <v>37</v>
      </c>
      <c r="E20" t="s">
        <v>16</v>
      </c>
      <c r="F20" t="s">
        <v>68</v>
      </c>
      <c r="G20" t="s">
        <v>89</v>
      </c>
      <c r="H20" t="s">
        <v>34</v>
      </c>
      <c r="I20" s="4">
        <v>8978.85</v>
      </c>
      <c r="J20" t="s">
        <v>29</v>
      </c>
      <c r="K20" t="s">
        <v>21</v>
      </c>
      <c r="L20" t="s">
        <v>22</v>
      </c>
      <c r="M20">
        <v>4</v>
      </c>
    </row>
    <row r="21" spans="1:13" x14ac:dyDescent="0.25">
      <c r="A21" t="s">
        <v>90</v>
      </c>
      <c r="B21" t="s">
        <v>14</v>
      </c>
      <c r="C21">
        <v>45</v>
      </c>
      <c r="D21" t="s">
        <v>31</v>
      </c>
      <c r="E21" t="s">
        <v>16</v>
      </c>
      <c r="F21" t="s">
        <v>91</v>
      </c>
      <c r="G21" t="s">
        <v>92</v>
      </c>
      <c r="H21" t="s">
        <v>54</v>
      </c>
      <c r="I21" s="4">
        <v>2858.21</v>
      </c>
      <c r="J21" t="s">
        <v>20</v>
      </c>
      <c r="K21" t="s">
        <v>35</v>
      </c>
      <c r="L21" t="s">
        <v>29</v>
      </c>
      <c r="M21">
        <v>2</v>
      </c>
    </row>
    <row r="22" spans="1:13" x14ac:dyDescent="0.25">
      <c r="A22" t="s">
        <v>93</v>
      </c>
      <c r="B22" t="s">
        <v>24</v>
      </c>
      <c r="C22">
        <v>32</v>
      </c>
      <c r="D22" t="s">
        <v>47</v>
      </c>
      <c r="E22" t="s">
        <v>51</v>
      </c>
      <c r="F22" t="s">
        <v>94</v>
      </c>
      <c r="G22" t="s">
        <v>95</v>
      </c>
      <c r="H22" t="s">
        <v>34</v>
      </c>
      <c r="I22" s="4">
        <v>4503.5</v>
      </c>
      <c r="J22" t="s">
        <v>42</v>
      </c>
      <c r="K22" t="s">
        <v>21</v>
      </c>
      <c r="L22" t="s">
        <v>22</v>
      </c>
      <c r="M22">
        <v>2</v>
      </c>
    </row>
    <row r="23" spans="1:13" x14ac:dyDescent="0.25">
      <c r="A23" t="s">
        <v>96</v>
      </c>
      <c r="B23" t="s">
        <v>14</v>
      </c>
      <c r="C23">
        <v>18</v>
      </c>
      <c r="D23" t="s">
        <v>15</v>
      </c>
      <c r="E23" t="s">
        <v>38</v>
      </c>
      <c r="F23" t="s">
        <v>97</v>
      </c>
      <c r="G23" t="s">
        <v>98</v>
      </c>
      <c r="H23" t="s">
        <v>28</v>
      </c>
      <c r="I23" s="4">
        <v>12609.2</v>
      </c>
      <c r="J23" t="s">
        <v>42</v>
      </c>
      <c r="K23" t="s">
        <v>21</v>
      </c>
      <c r="L23" t="s">
        <v>29</v>
      </c>
      <c r="M23">
        <v>4</v>
      </c>
    </row>
    <row r="24" spans="1:13" x14ac:dyDescent="0.25">
      <c r="A24" t="s">
        <v>99</v>
      </c>
      <c r="B24" t="s">
        <v>14</v>
      </c>
      <c r="C24">
        <v>24</v>
      </c>
      <c r="D24" t="s">
        <v>37</v>
      </c>
      <c r="E24" t="s">
        <v>51</v>
      </c>
      <c r="F24" t="s">
        <v>100</v>
      </c>
      <c r="G24" t="s">
        <v>101</v>
      </c>
      <c r="H24" t="s">
        <v>19</v>
      </c>
      <c r="I24" s="4">
        <v>3141.52</v>
      </c>
      <c r="J24" t="s">
        <v>20</v>
      </c>
      <c r="K24" t="s">
        <v>35</v>
      </c>
      <c r="L24" t="s">
        <v>29</v>
      </c>
      <c r="M24">
        <v>3</v>
      </c>
    </row>
    <row r="25" spans="1:13" x14ac:dyDescent="0.25">
      <c r="A25" t="s">
        <v>102</v>
      </c>
      <c r="B25" t="s">
        <v>14</v>
      </c>
      <c r="C25">
        <v>43</v>
      </c>
      <c r="D25" t="s">
        <v>47</v>
      </c>
      <c r="E25" t="s">
        <v>38</v>
      </c>
      <c r="F25" t="s">
        <v>103</v>
      </c>
      <c r="G25" t="s">
        <v>104</v>
      </c>
      <c r="H25" t="s">
        <v>28</v>
      </c>
      <c r="I25" s="4">
        <v>19428.91</v>
      </c>
      <c r="J25" t="s">
        <v>42</v>
      </c>
      <c r="K25" t="s">
        <v>35</v>
      </c>
      <c r="L25" t="s">
        <v>29</v>
      </c>
      <c r="M25">
        <v>4</v>
      </c>
    </row>
    <row r="26" spans="1:13" x14ac:dyDescent="0.25">
      <c r="A26" t="s">
        <v>105</v>
      </c>
      <c r="B26" t="s">
        <v>24</v>
      </c>
      <c r="C26">
        <v>37</v>
      </c>
      <c r="D26" t="s">
        <v>25</v>
      </c>
      <c r="E26" t="s">
        <v>38</v>
      </c>
      <c r="F26" t="s">
        <v>106</v>
      </c>
      <c r="G26" t="s">
        <v>107</v>
      </c>
      <c r="H26" t="s">
        <v>28</v>
      </c>
      <c r="I26" s="4">
        <v>26659.02</v>
      </c>
      <c r="J26" t="s">
        <v>29</v>
      </c>
      <c r="K26" t="s">
        <v>35</v>
      </c>
      <c r="L26" t="s">
        <v>22</v>
      </c>
      <c r="M26">
        <v>5</v>
      </c>
    </row>
    <row r="27" spans="1:13" x14ac:dyDescent="0.25">
      <c r="A27" t="s">
        <v>108</v>
      </c>
      <c r="B27" t="s">
        <v>24</v>
      </c>
      <c r="C27">
        <v>34</v>
      </c>
      <c r="D27" t="s">
        <v>15</v>
      </c>
      <c r="E27" t="s">
        <v>51</v>
      </c>
      <c r="F27" t="s">
        <v>109</v>
      </c>
      <c r="G27" t="s">
        <v>110</v>
      </c>
      <c r="H27" t="s">
        <v>41</v>
      </c>
      <c r="I27" s="4">
        <v>55628.29</v>
      </c>
      <c r="J27" t="s">
        <v>42</v>
      </c>
      <c r="K27" t="s">
        <v>35</v>
      </c>
      <c r="L27" t="s">
        <v>29</v>
      </c>
      <c r="M27">
        <v>4</v>
      </c>
    </row>
    <row r="28" spans="1:13" x14ac:dyDescent="0.25">
      <c r="A28" t="s">
        <v>111</v>
      </c>
      <c r="B28" t="s">
        <v>14</v>
      </c>
      <c r="C28">
        <v>52</v>
      </c>
      <c r="D28" t="s">
        <v>31</v>
      </c>
      <c r="E28" t="s">
        <v>16</v>
      </c>
      <c r="F28" t="s">
        <v>112</v>
      </c>
      <c r="G28" t="s">
        <v>113</v>
      </c>
      <c r="H28" t="s">
        <v>19</v>
      </c>
      <c r="I28" s="4">
        <v>10391.56</v>
      </c>
      <c r="J28" t="s">
        <v>29</v>
      </c>
      <c r="K28" t="s">
        <v>21</v>
      </c>
      <c r="L28" t="s">
        <v>22</v>
      </c>
      <c r="M28">
        <v>2</v>
      </c>
    </row>
    <row r="29" spans="1:13" x14ac:dyDescent="0.25">
      <c r="A29" t="s">
        <v>114</v>
      </c>
      <c r="B29" t="s">
        <v>14</v>
      </c>
      <c r="C29">
        <v>51</v>
      </c>
      <c r="D29" t="s">
        <v>47</v>
      </c>
      <c r="E29" t="s">
        <v>38</v>
      </c>
      <c r="F29" t="s">
        <v>115</v>
      </c>
      <c r="G29" t="s">
        <v>116</v>
      </c>
      <c r="H29" t="s">
        <v>41</v>
      </c>
      <c r="I29" s="4">
        <v>79852.47</v>
      </c>
      <c r="J29" t="s">
        <v>29</v>
      </c>
      <c r="K29" t="s">
        <v>21</v>
      </c>
      <c r="L29" t="s">
        <v>29</v>
      </c>
      <c r="M29">
        <v>5</v>
      </c>
    </row>
    <row r="30" spans="1:13" x14ac:dyDescent="0.25">
      <c r="A30" t="s">
        <v>117</v>
      </c>
      <c r="B30" t="s">
        <v>24</v>
      </c>
      <c r="C30">
        <v>56</v>
      </c>
      <c r="D30" t="s">
        <v>15</v>
      </c>
      <c r="E30" t="s">
        <v>38</v>
      </c>
      <c r="F30" t="s">
        <v>118</v>
      </c>
      <c r="G30" t="s">
        <v>45</v>
      </c>
      <c r="H30" t="s">
        <v>34</v>
      </c>
      <c r="I30" s="4">
        <v>5906.88</v>
      </c>
      <c r="J30" t="s">
        <v>42</v>
      </c>
      <c r="K30" t="s">
        <v>35</v>
      </c>
      <c r="L30" t="s">
        <v>22</v>
      </c>
      <c r="M30">
        <v>1</v>
      </c>
    </row>
    <row r="31" spans="1:13" x14ac:dyDescent="0.25">
      <c r="A31" t="s">
        <v>119</v>
      </c>
      <c r="B31" t="s">
        <v>14</v>
      </c>
      <c r="C31">
        <v>60</v>
      </c>
      <c r="D31" t="s">
        <v>37</v>
      </c>
      <c r="E31" t="s">
        <v>16</v>
      </c>
      <c r="F31" t="s">
        <v>120</v>
      </c>
      <c r="G31" t="s">
        <v>121</v>
      </c>
      <c r="H31" t="s">
        <v>28</v>
      </c>
      <c r="I31" s="4">
        <v>17807.27</v>
      </c>
      <c r="J31" t="s">
        <v>20</v>
      </c>
      <c r="K31" t="s">
        <v>35</v>
      </c>
      <c r="L31" t="s">
        <v>22</v>
      </c>
      <c r="M31">
        <v>4</v>
      </c>
    </row>
    <row r="32" spans="1:13" x14ac:dyDescent="0.25">
      <c r="A32" t="s">
        <v>122</v>
      </c>
      <c r="B32" t="s">
        <v>14</v>
      </c>
      <c r="C32">
        <v>34</v>
      </c>
      <c r="D32" t="s">
        <v>37</v>
      </c>
      <c r="E32" t="s">
        <v>16</v>
      </c>
      <c r="F32" t="s">
        <v>123</v>
      </c>
      <c r="G32" t="s">
        <v>124</v>
      </c>
      <c r="H32" t="s">
        <v>19</v>
      </c>
      <c r="I32" s="4">
        <v>3584.09</v>
      </c>
      <c r="J32" t="s">
        <v>20</v>
      </c>
      <c r="K32" t="s">
        <v>21</v>
      </c>
      <c r="L32" t="s">
        <v>29</v>
      </c>
      <c r="M32">
        <v>2</v>
      </c>
    </row>
    <row r="33" spans="1:13" x14ac:dyDescent="0.25">
      <c r="A33" t="s">
        <v>125</v>
      </c>
      <c r="B33" t="s">
        <v>14</v>
      </c>
      <c r="C33">
        <v>18</v>
      </c>
      <c r="D33" t="s">
        <v>31</v>
      </c>
      <c r="E33" t="s">
        <v>51</v>
      </c>
      <c r="F33" t="s">
        <v>126</v>
      </c>
      <c r="G33" t="s">
        <v>127</v>
      </c>
      <c r="H33" t="s">
        <v>34</v>
      </c>
      <c r="I33" s="4">
        <v>6872.08</v>
      </c>
      <c r="J33" t="s">
        <v>42</v>
      </c>
      <c r="K33" t="s">
        <v>21</v>
      </c>
      <c r="L33" t="s">
        <v>29</v>
      </c>
      <c r="M33">
        <v>5</v>
      </c>
    </row>
    <row r="34" spans="1:13" x14ac:dyDescent="0.25">
      <c r="A34" t="s">
        <v>128</v>
      </c>
      <c r="B34" t="s">
        <v>14</v>
      </c>
      <c r="C34">
        <v>53</v>
      </c>
      <c r="D34" t="s">
        <v>37</v>
      </c>
      <c r="E34" t="s">
        <v>16</v>
      </c>
      <c r="F34" t="s">
        <v>129</v>
      </c>
      <c r="G34" t="s">
        <v>130</v>
      </c>
      <c r="H34" t="s">
        <v>54</v>
      </c>
      <c r="I34" s="4">
        <v>5217.7299999999996</v>
      </c>
      <c r="J34" t="s">
        <v>20</v>
      </c>
      <c r="K34" t="s">
        <v>21</v>
      </c>
      <c r="L34" t="s">
        <v>22</v>
      </c>
      <c r="M34">
        <v>1</v>
      </c>
    </row>
    <row r="35" spans="1:13" x14ac:dyDescent="0.25">
      <c r="A35" t="s">
        <v>131</v>
      </c>
      <c r="B35" t="s">
        <v>24</v>
      </c>
      <c r="C35">
        <v>28</v>
      </c>
      <c r="D35" t="s">
        <v>37</v>
      </c>
      <c r="E35" t="s">
        <v>16</v>
      </c>
      <c r="F35" t="s">
        <v>132</v>
      </c>
      <c r="G35" t="s">
        <v>133</v>
      </c>
      <c r="H35" t="s">
        <v>19</v>
      </c>
      <c r="I35" s="4">
        <v>14357.07</v>
      </c>
      <c r="J35" t="s">
        <v>29</v>
      </c>
      <c r="K35" t="s">
        <v>35</v>
      </c>
      <c r="L35" t="s">
        <v>29</v>
      </c>
      <c r="M35">
        <v>1</v>
      </c>
    </row>
    <row r="36" spans="1:13" x14ac:dyDescent="0.25">
      <c r="A36" t="s">
        <v>134</v>
      </c>
      <c r="B36" t="s">
        <v>14</v>
      </c>
      <c r="C36">
        <v>57</v>
      </c>
      <c r="D36" t="s">
        <v>31</v>
      </c>
      <c r="E36" t="s">
        <v>38</v>
      </c>
      <c r="F36" t="s">
        <v>135</v>
      </c>
      <c r="G36" t="s">
        <v>136</v>
      </c>
      <c r="H36" t="s">
        <v>19</v>
      </c>
      <c r="I36" s="4">
        <v>3534.76</v>
      </c>
      <c r="J36" t="s">
        <v>20</v>
      </c>
      <c r="K36" t="s">
        <v>35</v>
      </c>
      <c r="L36" t="s">
        <v>29</v>
      </c>
      <c r="M36">
        <v>4</v>
      </c>
    </row>
    <row r="37" spans="1:13" x14ac:dyDescent="0.25">
      <c r="A37" t="s">
        <v>137</v>
      </c>
      <c r="B37" t="s">
        <v>24</v>
      </c>
      <c r="C37">
        <v>21</v>
      </c>
      <c r="D37" t="s">
        <v>47</v>
      </c>
      <c r="E37" t="s">
        <v>16</v>
      </c>
      <c r="F37" t="s">
        <v>138</v>
      </c>
      <c r="G37" t="s">
        <v>139</v>
      </c>
      <c r="H37" t="s">
        <v>28</v>
      </c>
      <c r="I37" s="4">
        <v>8666.18</v>
      </c>
      <c r="J37" t="s">
        <v>42</v>
      </c>
      <c r="K37" t="s">
        <v>21</v>
      </c>
      <c r="L37" t="s">
        <v>29</v>
      </c>
      <c r="M37">
        <v>2</v>
      </c>
    </row>
    <row r="38" spans="1:13" x14ac:dyDescent="0.25">
      <c r="A38" t="s">
        <v>140</v>
      </c>
      <c r="B38" t="s">
        <v>24</v>
      </c>
      <c r="C38">
        <v>31</v>
      </c>
      <c r="D38" t="s">
        <v>37</v>
      </c>
      <c r="E38" t="s">
        <v>51</v>
      </c>
      <c r="F38" t="s">
        <v>141</v>
      </c>
      <c r="G38" t="s">
        <v>142</v>
      </c>
      <c r="H38" t="s">
        <v>41</v>
      </c>
      <c r="I38" s="4">
        <v>19267.73</v>
      </c>
      <c r="J38" t="s">
        <v>29</v>
      </c>
      <c r="K38" t="s">
        <v>35</v>
      </c>
      <c r="L38" t="s">
        <v>29</v>
      </c>
      <c r="M38">
        <v>3</v>
      </c>
    </row>
    <row r="39" spans="1:13" x14ac:dyDescent="0.25">
      <c r="A39" t="s">
        <v>143</v>
      </c>
      <c r="B39" t="s">
        <v>24</v>
      </c>
      <c r="C39">
        <v>43</v>
      </c>
      <c r="D39" t="s">
        <v>37</v>
      </c>
      <c r="E39" t="s">
        <v>51</v>
      </c>
      <c r="F39" t="s">
        <v>144</v>
      </c>
      <c r="G39" t="s">
        <v>145</v>
      </c>
      <c r="H39" t="s">
        <v>34</v>
      </c>
      <c r="I39" s="4">
        <v>22561.599999999999</v>
      </c>
      <c r="J39" t="s">
        <v>42</v>
      </c>
      <c r="K39" t="s">
        <v>21</v>
      </c>
      <c r="L39" t="s">
        <v>29</v>
      </c>
      <c r="M39">
        <v>5</v>
      </c>
    </row>
    <row r="40" spans="1:13" x14ac:dyDescent="0.25">
      <c r="A40" t="s">
        <v>146</v>
      </c>
      <c r="B40" t="s">
        <v>14</v>
      </c>
      <c r="C40">
        <v>20</v>
      </c>
      <c r="D40" t="s">
        <v>15</v>
      </c>
      <c r="E40" t="s">
        <v>16</v>
      </c>
      <c r="F40" t="s">
        <v>147</v>
      </c>
      <c r="G40" t="s">
        <v>121</v>
      </c>
      <c r="H40" t="s">
        <v>41</v>
      </c>
      <c r="I40" s="4">
        <v>61617.14</v>
      </c>
      <c r="J40" t="s">
        <v>29</v>
      </c>
      <c r="K40" t="s">
        <v>35</v>
      </c>
      <c r="L40" t="s">
        <v>29</v>
      </c>
      <c r="M40">
        <v>5</v>
      </c>
    </row>
    <row r="41" spans="1:13" x14ac:dyDescent="0.25">
      <c r="A41" t="s">
        <v>148</v>
      </c>
      <c r="B41" t="s">
        <v>14</v>
      </c>
      <c r="C41">
        <v>20</v>
      </c>
      <c r="D41" t="s">
        <v>37</v>
      </c>
      <c r="E41" t="s">
        <v>16</v>
      </c>
      <c r="F41" t="s">
        <v>149</v>
      </c>
      <c r="G41" t="s">
        <v>150</v>
      </c>
      <c r="H41" t="s">
        <v>28</v>
      </c>
      <c r="I41" s="4">
        <v>20343.57</v>
      </c>
      <c r="J41" t="s">
        <v>42</v>
      </c>
      <c r="K41" t="s">
        <v>35</v>
      </c>
      <c r="L41" t="s">
        <v>22</v>
      </c>
      <c r="M41">
        <v>2</v>
      </c>
    </row>
    <row r="42" spans="1:13" x14ac:dyDescent="0.25">
      <c r="A42" t="s">
        <v>151</v>
      </c>
      <c r="B42" t="s">
        <v>24</v>
      </c>
      <c r="C42">
        <v>34</v>
      </c>
      <c r="D42" t="s">
        <v>47</v>
      </c>
      <c r="E42" t="s">
        <v>51</v>
      </c>
      <c r="F42" t="s">
        <v>59</v>
      </c>
      <c r="G42" t="s">
        <v>101</v>
      </c>
      <c r="H42" t="s">
        <v>41</v>
      </c>
      <c r="I42" s="4">
        <v>51750.91</v>
      </c>
      <c r="J42" t="s">
        <v>20</v>
      </c>
      <c r="K42" t="s">
        <v>21</v>
      </c>
      <c r="L42" t="s">
        <v>22</v>
      </c>
      <c r="M42">
        <v>2</v>
      </c>
    </row>
    <row r="43" spans="1:13" x14ac:dyDescent="0.25">
      <c r="A43" t="s">
        <v>152</v>
      </c>
      <c r="B43" t="s">
        <v>14</v>
      </c>
      <c r="C43">
        <v>51</v>
      </c>
      <c r="D43" t="s">
        <v>25</v>
      </c>
      <c r="E43" t="s">
        <v>16</v>
      </c>
      <c r="F43" t="s">
        <v>153</v>
      </c>
      <c r="G43" t="s">
        <v>154</v>
      </c>
      <c r="H43" t="s">
        <v>19</v>
      </c>
      <c r="I43" s="4">
        <v>3976.94</v>
      </c>
      <c r="J43" t="s">
        <v>20</v>
      </c>
      <c r="K43" t="s">
        <v>35</v>
      </c>
      <c r="L43" t="s">
        <v>29</v>
      </c>
      <c r="M43">
        <v>4</v>
      </c>
    </row>
    <row r="44" spans="1:13" x14ac:dyDescent="0.25">
      <c r="A44" t="s">
        <v>155</v>
      </c>
      <c r="B44" t="s">
        <v>14</v>
      </c>
      <c r="C44">
        <v>53</v>
      </c>
      <c r="D44" t="s">
        <v>25</v>
      </c>
      <c r="E44" t="s">
        <v>38</v>
      </c>
      <c r="F44" t="s">
        <v>156</v>
      </c>
      <c r="G44" t="s">
        <v>157</v>
      </c>
      <c r="H44" t="s">
        <v>19</v>
      </c>
      <c r="I44" s="4">
        <v>5567.44</v>
      </c>
      <c r="J44" t="s">
        <v>29</v>
      </c>
      <c r="K44" t="s">
        <v>35</v>
      </c>
      <c r="L44" t="s">
        <v>22</v>
      </c>
      <c r="M44">
        <v>4</v>
      </c>
    </row>
    <row r="45" spans="1:13" x14ac:dyDescent="0.25">
      <c r="A45" t="s">
        <v>158</v>
      </c>
      <c r="B45" t="s">
        <v>24</v>
      </c>
      <c r="C45">
        <v>45</v>
      </c>
      <c r="D45" t="s">
        <v>31</v>
      </c>
      <c r="E45" t="s">
        <v>51</v>
      </c>
      <c r="F45" t="s">
        <v>159</v>
      </c>
      <c r="G45" t="s">
        <v>160</v>
      </c>
      <c r="H45" t="s">
        <v>54</v>
      </c>
      <c r="I45" s="4">
        <v>8821.42</v>
      </c>
      <c r="J45" t="s">
        <v>20</v>
      </c>
      <c r="K45" t="s">
        <v>21</v>
      </c>
      <c r="L45" t="s">
        <v>29</v>
      </c>
      <c r="M45">
        <v>4</v>
      </c>
    </row>
    <row r="46" spans="1:13" x14ac:dyDescent="0.25">
      <c r="A46" t="s">
        <v>161</v>
      </c>
      <c r="B46" t="s">
        <v>14</v>
      </c>
      <c r="C46">
        <v>20</v>
      </c>
      <c r="D46" t="s">
        <v>37</v>
      </c>
      <c r="E46" t="s">
        <v>51</v>
      </c>
      <c r="F46" t="s">
        <v>162</v>
      </c>
      <c r="G46" t="s">
        <v>163</v>
      </c>
      <c r="H46" t="s">
        <v>41</v>
      </c>
      <c r="I46" s="4">
        <v>41642.949999999997</v>
      </c>
      <c r="J46" t="s">
        <v>42</v>
      </c>
      <c r="K46" t="s">
        <v>35</v>
      </c>
      <c r="L46" t="s">
        <v>29</v>
      </c>
      <c r="M46">
        <v>4</v>
      </c>
    </row>
    <row r="47" spans="1:13" x14ac:dyDescent="0.25">
      <c r="A47" t="s">
        <v>164</v>
      </c>
      <c r="B47" t="s">
        <v>24</v>
      </c>
      <c r="C47">
        <v>55</v>
      </c>
      <c r="D47" t="s">
        <v>47</v>
      </c>
      <c r="E47" t="s">
        <v>38</v>
      </c>
      <c r="F47" t="s">
        <v>165</v>
      </c>
      <c r="G47" t="s">
        <v>166</v>
      </c>
      <c r="H47" t="s">
        <v>19</v>
      </c>
      <c r="I47" s="4">
        <v>29828.02</v>
      </c>
      <c r="J47" t="s">
        <v>42</v>
      </c>
      <c r="K47" t="s">
        <v>35</v>
      </c>
      <c r="L47" t="s">
        <v>22</v>
      </c>
      <c r="M47">
        <v>5</v>
      </c>
    </row>
    <row r="48" spans="1:13" x14ac:dyDescent="0.25">
      <c r="A48" t="s">
        <v>167</v>
      </c>
      <c r="B48" t="s">
        <v>24</v>
      </c>
      <c r="C48">
        <v>43</v>
      </c>
      <c r="D48" t="s">
        <v>37</v>
      </c>
      <c r="E48" t="s">
        <v>16</v>
      </c>
      <c r="F48" t="s">
        <v>168</v>
      </c>
      <c r="G48" t="s">
        <v>169</v>
      </c>
      <c r="H48" t="s">
        <v>34</v>
      </c>
      <c r="I48" s="4">
        <v>15330.58</v>
      </c>
      <c r="J48" t="s">
        <v>20</v>
      </c>
      <c r="K48" t="s">
        <v>21</v>
      </c>
      <c r="L48" t="s">
        <v>29</v>
      </c>
      <c r="M48">
        <v>3</v>
      </c>
    </row>
    <row r="49" spans="1:13" x14ac:dyDescent="0.25">
      <c r="A49" t="s">
        <v>170</v>
      </c>
      <c r="B49" t="s">
        <v>14</v>
      </c>
      <c r="C49">
        <v>18</v>
      </c>
      <c r="D49" t="s">
        <v>47</v>
      </c>
      <c r="E49" t="s">
        <v>38</v>
      </c>
      <c r="F49" t="s">
        <v>171</v>
      </c>
      <c r="G49" t="s">
        <v>172</v>
      </c>
      <c r="H49" t="s">
        <v>54</v>
      </c>
      <c r="I49" s="4">
        <v>3377.31</v>
      </c>
      <c r="J49" t="s">
        <v>20</v>
      </c>
      <c r="K49" t="s">
        <v>21</v>
      </c>
      <c r="L49" t="s">
        <v>22</v>
      </c>
      <c r="M49">
        <v>3</v>
      </c>
    </row>
    <row r="50" spans="1:13" x14ac:dyDescent="0.25">
      <c r="A50" t="s">
        <v>173</v>
      </c>
      <c r="B50" t="s">
        <v>24</v>
      </c>
      <c r="C50">
        <v>59</v>
      </c>
      <c r="D50" t="s">
        <v>47</v>
      </c>
      <c r="E50" t="s">
        <v>38</v>
      </c>
      <c r="F50" t="s">
        <v>174</v>
      </c>
      <c r="G50" t="s">
        <v>175</v>
      </c>
      <c r="H50" t="s">
        <v>19</v>
      </c>
      <c r="I50" s="4">
        <v>28681.68</v>
      </c>
      <c r="J50" t="s">
        <v>20</v>
      </c>
      <c r="K50" t="s">
        <v>21</v>
      </c>
      <c r="L50" t="s">
        <v>29</v>
      </c>
      <c r="M50">
        <v>5</v>
      </c>
    </row>
    <row r="51" spans="1:13" x14ac:dyDescent="0.25">
      <c r="A51" t="s">
        <v>176</v>
      </c>
      <c r="B51" t="s">
        <v>14</v>
      </c>
      <c r="C51">
        <v>40</v>
      </c>
      <c r="D51" t="s">
        <v>37</v>
      </c>
      <c r="E51" t="s">
        <v>51</v>
      </c>
      <c r="F51" t="s">
        <v>177</v>
      </c>
      <c r="G51" t="s">
        <v>178</v>
      </c>
      <c r="H51" t="s">
        <v>28</v>
      </c>
      <c r="I51" s="4">
        <v>25464.02</v>
      </c>
      <c r="J51" t="s">
        <v>20</v>
      </c>
      <c r="K51" t="s">
        <v>35</v>
      </c>
      <c r="L51" t="s">
        <v>29</v>
      </c>
      <c r="M51">
        <v>4</v>
      </c>
    </row>
    <row r="52" spans="1:13" x14ac:dyDescent="0.25">
      <c r="A52" t="s">
        <v>179</v>
      </c>
      <c r="B52" t="s">
        <v>24</v>
      </c>
      <c r="C52">
        <v>44</v>
      </c>
      <c r="D52" t="s">
        <v>31</v>
      </c>
      <c r="E52" t="s">
        <v>38</v>
      </c>
      <c r="F52" t="s">
        <v>180</v>
      </c>
      <c r="G52" t="s">
        <v>181</v>
      </c>
      <c r="H52" t="s">
        <v>54</v>
      </c>
      <c r="I52" s="4">
        <v>6019.45</v>
      </c>
      <c r="J52" t="s">
        <v>42</v>
      </c>
      <c r="K52" t="s">
        <v>35</v>
      </c>
      <c r="L52" t="s">
        <v>29</v>
      </c>
      <c r="M52">
        <v>2</v>
      </c>
    </row>
    <row r="53" spans="1:13" x14ac:dyDescent="0.25">
      <c r="A53" t="s">
        <v>182</v>
      </c>
      <c r="B53" t="s">
        <v>24</v>
      </c>
      <c r="C53">
        <v>46</v>
      </c>
      <c r="D53" t="s">
        <v>31</v>
      </c>
      <c r="E53" t="s">
        <v>16</v>
      </c>
      <c r="F53" t="s">
        <v>183</v>
      </c>
      <c r="G53" t="s">
        <v>184</v>
      </c>
      <c r="H53" t="s">
        <v>54</v>
      </c>
      <c r="I53" s="4">
        <v>1572.45</v>
      </c>
      <c r="J53" t="s">
        <v>42</v>
      </c>
      <c r="K53" t="s">
        <v>35</v>
      </c>
      <c r="L53" t="s">
        <v>22</v>
      </c>
      <c r="M53">
        <v>1</v>
      </c>
    </row>
    <row r="54" spans="1:13" x14ac:dyDescent="0.25">
      <c r="A54" t="s">
        <v>185</v>
      </c>
      <c r="B54" t="s">
        <v>14</v>
      </c>
      <c r="C54">
        <v>29</v>
      </c>
      <c r="D54" t="s">
        <v>37</v>
      </c>
      <c r="E54" t="s">
        <v>51</v>
      </c>
      <c r="F54" t="s">
        <v>186</v>
      </c>
      <c r="G54" t="s">
        <v>187</v>
      </c>
      <c r="H54" t="s">
        <v>41</v>
      </c>
      <c r="I54" s="4">
        <v>75560.72</v>
      </c>
      <c r="J54" t="s">
        <v>42</v>
      </c>
      <c r="K54" t="s">
        <v>21</v>
      </c>
      <c r="L54" t="s">
        <v>29</v>
      </c>
      <c r="M54">
        <v>5</v>
      </c>
    </row>
    <row r="55" spans="1:13" x14ac:dyDescent="0.25">
      <c r="A55" t="s">
        <v>188</v>
      </c>
      <c r="B55" t="s">
        <v>14</v>
      </c>
      <c r="C55">
        <v>47</v>
      </c>
      <c r="D55" t="s">
        <v>37</v>
      </c>
      <c r="E55" t="s">
        <v>51</v>
      </c>
      <c r="F55" t="s">
        <v>189</v>
      </c>
      <c r="G55" t="s">
        <v>190</v>
      </c>
      <c r="H55" t="s">
        <v>19</v>
      </c>
      <c r="I55" s="4">
        <v>24916.880000000001</v>
      </c>
      <c r="J55" t="s">
        <v>42</v>
      </c>
      <c r="K55" t="s">
        <v>21</v>
      </c>
      <c r="L55" t="s">
        <v>22</v>
      </c>
      <c r="M55">
        <v>4</v>
      </c>
    </row>
    <row r="56" spans="1:13" x14ac:dyDescent="0.25">
      <c r="A56" t="s">
        <v>191</v>
      </c>
      <c r="B56" t="s">
        <v>24</v>
      </c>
      <c r="C56">
        <v>24</v>
      </c>
      <c r="D56" t="s">
        <v>31</v>
      </c>
      <c r="E56" t="s">
        <v>51</v>
      </c>
      <c r="F56" t="s">
        <v>192</v>
      </c>
      <c r="G56" t="s">
        <v>193</v>
      </c>
      <c r="H56" t="s">
        <v>19</v>
      </c>
      <c r="I56" s="4">
        <v>15659.5</v>
      </c>
      <c r="J56" t="s">
        <v>20</v>
      </c>
      <c r="K56" t="s">
        <v>35</v>
      </c>
      <c r="L56" t="s">
        <v>29</v>
      </c>
      <c r="M56">
        <v>1</v>
      </c>
    </row>
    <row r="57" spans="1:13" x14ac:dyDescent="0.25">
      <c r="A57" t="s">
        <v>194</v>
      </c>
      <c r="B57" t="s">
        <v>24</v>
      </c>
      <c r="C57">
        <v>25</v>
      </c>
      <c r="D57" t="s">
        <v>47</v>
      </c>
      <c r="E57" t="s">
        <v>51</v>
      </c>
      <c r="F57" t="s">
        <v>195</v>
      </c>
      <c r="G57" t="s">
        <v>196</v>
      </c>
      <c r="H57" t="s">
        <v>41</v>
      </c>
      <c r="I57" s="4">
        <v>23500.19</v>
      </c>
      <c r="J57" t="s">
        <v>20</v>
      </c>
      <c r="K57" t="s">
        <v>35</v>
      </c>
      <c r="L57" t="s">
        <v>29</v>
      </c>
      <c r="M57">
        <v>3</v>
      </c>
    </row>
    <row r="58" spans="1:13" x14ac:dyDescent="0.25">
      <c r="A58" t="s">
        <v>197</v>
      </c>
      <c r="B58" t="s">
        <v>14</v>
      </c>
      <c r="C58">
        <v>19</v>
      </c>
      <c r="D58" t="s">
        <v>37</v>
      </c>
      <c r="E58" t="s">
        <v>38</v>
      </c>
      <c r="F58" t="s">
        <v>198</v>
      </c>
      <c r="G58" t="s">
        <v>199</v>
      </c>
      <c r="H58" t="s">
        <v>54</v>
      </c>
      <c r="I58" s="4">
        <v>6774.47</v>
      </c>
      <c r="J58" t="s">
        <v>42</v>
      </c>
      <c r="K58" t="s">
        <v>35</v>
      </c>
      <c r="L58" t="s">
        <v>22</v>
      </c>
      <c r="M58">
        <v>4</v>
      </c>
    </row>
    <row r="59" spans="1:13" x14ac:dyDescent="0.25">
      <c r="A59" t="s">
        <v>200</v>
      </c>
      <c r="B59" t="s">
        <v>14</v>
      </c>
      <c r="C59">
        <v>54</v>
      </c>
      <c r="D59" t="s">
        <v>31</v>
      </c>
      <c r="E59" t="s">
        <v>51</v>
      </c>
      <c r="F59" t="s">
        <v>189</v>
      </c>
      <c r="G59" t="s">
        <v>201</v>
      </c>
      <c r="H59" t="s">
        <v>41</v>
      </c>
      <c r="I59" s="4">
        <v>37088.620000000003</v>
      </c>
      <c r="J59" t="s">
        <v>29</v>
      </c>
      <c r="K59" t="s">
        <v>21</v>
      </c>
      <c r="L59" t="s">
        <v>29</v>
      </c>
      <c r="M59">
        <v>5</v>
      </c>
    </row>
    <row r="60" spans="1:13" x14ac:dyDescent="0.25">
      <c r="A60" t="s">
        <v>202</v>
      </c>
      <c r="B60" t="s">
        <v>14</v>
      </c>
      <c r="C60">
        <v>46</v>
      </c>
      <c r="D60" t="s">
        <v>47</v>
      </c>
      <c r="E60" t="s">
        <v>51</v>
      </c>
      <c r="F60" t="s">
        <v>156</v>
      </c>
      <c r="G60" t="s">
        <v>203</v>
      </c>
      <c r="H60" t="s">
        <v>34</v>
      </c>
      <c r="I60" s="4">
        <v>5014.95</v>
      </c>
      <c r="J60" t="s">
        <v>42</v>
      </c>
      <c r="K60" t="s">
        <v>21</v>
      </c>
      <c r="L60" t="s">
        <v>22</v>
      </c>
      <c r="M60">
        <v>2</v>
      </c>
    </row>
    <row r="61" spans="1:13" x14ac:dyDescent="0.25">
      <c r="A61" t="s">
        <v>204</v>
      </c>
      <c r="B61" t="s">
        <v>14</v>
      </c>
      <c r="C61">
        <v>51</v>
      </c>
      <c r="D61" t="s">
        <v>15</v>
      </c>
      <c r="E61" t="s">
        <v>51</v>
      </c>
      <c r="F61" t="s">
        <v>205</v>
      </c>
      <c r="G61" t="s">
        <v>206</v>
      </c>
      <c r="H61" t="s">
        <v>28</v>
      </c>
      <c r="I61" s="4">
        <v>22917.45</v>
      </c>
      <c r="J61" t="s">
        <v>42</v>
      </c>
      <c r="K61" t="s">
        <v>35</v>
      </c>
      <c r="L61" t="s">
        <v>29</v>
      </c>
      <c r="M61">
        <v>2</v>
      </c>
    </row>
    <row r="62" spans="1:13" x14ac:dyDescent="0.25">
      <c r="A62" t="s">
        <v>207</v>
      </c>
      <c r="B62" t="s">
        <v>24</v>
      </c>
      <c r="C62">
        <v>20</v>
      </c>
      <c r="D62" t="s">
        <v>25</v>
      </c>
      <c r="E62" t="s">
        <v>16</v>
      </c>
      <c r="F62" t="s">
        <v>208</v>
      </c>
      <c r="G62" t="s">
        <v>209</v>
      </c>
      <c r="H62" t="s">
        <v>54</v>
      </c>
      <c r="I62" s="4">
        <v>7726.15</v>
      </c>
      <c r="J62" t="s">
        <v>42</v>
      </c>
      <c r="K62" t="s">
        <v>21</v>
      </c>
      <c r="L62" t="s">
        <v>29</v>
      </c>
      <c r="M62">
        <v>4</v>
      </c>
    </row>
    <row r="63" spans="1:13" x14ac:dyDescent="0.25">
      <c r="A63" t="s">
        <v>210</v>
      </c>
      <c r="B63" t="s">
        <v>14</v>
      </c>
      <c r="C63">
        <v>39</v>
      </c>
      <c r="D63" t="s">
        <v>25</v>
      </c>
      <c r="E63" t="s">
        <v>38</v>
      </c>
      <c r="F63" t="s">
        <v>211</v>
      </c>
      <c r="G63" t="s">
        <v>212</v>
      </c>
      <c r="H63" t="s">
        <v>28</v>
      </c>
      <c r="I63" s="4">
        <v>26149.27</v>
      </c>
      <c r="J63" t="s">
        <v>29</v>
      </c>
      <c r="K63" t="s">
        <v>21</v>
      </c>
      <c r="L63" t="s">
        <v>22</v>
      </c>
      <c r="M63">
        <v>3</v>
      </c>
    </row>
    <row r="64" spans="1:13" x14ac:dyDescent="0.25">
      <c r="A64" t="s">
        <v>213</v>
      </c>
      <c r="B64" t="s">
        <v>14</v>
      </c>
      <c r="C64">
        <v>29</v>
      </c>
      <c r="D64" t="s">
        <v>31</v>
      </c>
      <c r="E64" t="s">
        <v>38</v>
      </c>
      <c r="F64" t="s">
        <v>214</v>
      </c>
      <c r="G64" t="s">
        <v>215</v>
      </c>
      <c r="H64" t="s">
        <v>19</v>
      </c>
      <c r="I64" s="4">
        <v>7932.78</v>
      </c>
      <c r="J64" t="s">
        <v>42</v>
      </c>
      <c r="K64" t="s">
        <v>21</v>
      </c>
      <c r="L64" t="s">
        <v>22</v>
      </c>
      <c r="M64">
        <v>1</v>
      </c>
    </row>
    <row r="65" spans="1:13" x14ac:dyDescent="0.25">
      <c r="A65" t="s">
        <v>216</v>
      </c>
      <c r="B65" t="s">
        <v>24</v>
      </c>
      <c r="C65">
        <v>60</v>
      </c>
      <c r="D65" t="s">
        <v>15</v>
      </c>
      <c r="E65" t="s">
        <v>51</v>
      </c>
      <c r="F65" t="s">
        <v>217</v>
      </c>
      <c r="G65" t="s">
        <v>218</v>
      </c>
      <c r="H65" t="s">
        <v>41</v>
      </c>
      <c r="I65" s="4">
        <v>25675.27</v>
      </c>
      <c r="J65" t="s">
        <v>29</v>
      </c>
      <c r="K65" t="s">
        <v>21</v>
      </c>
      <c r="L65" t="s">
        <v>22</v>
      </c>
      <c r="M65">
        <v>4</v>
      </c>
    </row>
    <row r="66" spans="1:13" x14ac:dyDescent="0.25">
      <c r="A66" t="s">
        <v>219</v>
      </c>
      <c r="B66" t="s">
        <v>14</v>
      </c>
      <c r="C66">
        <v>51</v>
      </c>
      <c r="D66" t="s">
        <v>15</v>
      </c>
      <c r="E66" t="s">
        <v>16</v>
      </c>
      <c r="F66" t="s">
        <v>220</v>
      </c>
      <c r="G66" t="s">
        <v>221</v>
      </c>
      <c r="H66" t="s">
        <v>34</v>
      </c>
      <c r="I66" s="4">
        <v>4933.53</v>
      </c>
      <c r="J66" t="s">
        <v>42</v>
      </c>
      <c r="K66" t="s">
        <v>35</v>
      </c>
      <c r="L66" t="s">
        <v>22</v>
      </c>
      <c r="M66">
        <v>4</v>
      </c>
    </row>
    <row r="67" spans="1:13" x14ac:dyDescent="0.25">
      <c r="A67" t="s">
        <v>222</v>
      </c>
      <c r="B67" t="s">
        <v>24</v>
      </c>
      <c r="C67">
        <v>20</v>
      </c>
      <c r="D67" t="s">
        <v>25</v>
      </c>
      <c r="E67" t="s">
        <v>38</v>
      </c>
      <c r="F67" t="s">
        <v>223</v>
      </c>
      <c r="G67" t="s">
        <v>224</v>
      </c>
      <c r="H67" t="s">
        <v>41</v>
      </c>
      <c r="I67" s="4">
        <v>16467.09</v>
      </c>
      <c r="J67" t="s">
        <v>29</v>
      </c>
      <c r="K67" t="s">
        <v>21</v>
      </c>
      <c r="L67" t="s">
        <v>22</v>
      </c>
      <c r="M67">
        <v>4</v>
      </c>
    </row>
    <row r="68" spans="1:13" x14ac:dyDescent="0.25">
      <c r="A68" t="s">
        <v>225</v>
      </c>
      <c r="B68" t="s">
        <v>24</v>
      </c>
      <c r="C68">
        <v>31</v>
      </c>
      <c r="D68" t="s">
        <v>31</v>
      </c>
      <c r="E68" t="s">
        <v>51</v>
      </c>
      <c r="F68" t="s">
        <v>141</v>
      </c>
      <c r="G68" t="s">
        <v>226</v>
      </c>
      <c r="H68" t="s">
        <v>28</v>
      </c>
      <c r="I68" s="4">
        <v>24213.91</v>
      </c>
      <c r="J68" t="s">
        <v>29</v>
      </c>
      <c r="K68" t="s">
        <v>35</v>
      </c>
      <c r="L68" t="s">
        <v>22</v>
      </c>
      <c r="M68">
        <v>4</v>
      </c>
    </row>
    <row r="69" spans="1:13" x14ac:dyDescent="0.25">
      <c r="A69" t="s">
        <v>227</v>
      </c>
      <c r="B69" t="s">
        <v>24</v>
      </c>
      <c r="C69">
        <v>48</v>
      </c>
      <c r="D69" t="s">
        <v>15</v>
      </c>
      <c r="E69" t="s">
        <v>16</v>
      </c>
      <c r="F69" t="s">
        <v>228</v>
      </c>
      <c r="G69" t="s">
        <v>72</v>
      </c>
      <c r="H69" t="s">
        <v>19</v>
      </c>
      <c r="I69" s="4">
        <v>22750.29</v>
      </c>
      <c r="J69" t="s">
        <v>20</v>
      </c>
      <c r="K69" t="s">
        <v>21</v>
      </c>
      <c r="L69" t="s">
        <v>29</v>
      </c>
      <c r="M69">
        <v>3</v>
      </c>
    </row>
    <row r="70" spans="1:13" x14ac:dyDescent="0.25">
      <c r="A70" t="s">
        <v>229</v>
      </c>
      <c r="B70" t="s">
        <v>14</v>
      </c>
      <c r="C70">
        <v>18</v>
      </c>
      <c r="D70" t="s">
        <v>15</v>
      </c>
      <c r="E70" t="s">
        <v>38</v>
      </c>
      <c r="F70" t="s">
        <v>230</v>
      </c>
      <c r="G70" t="s">
        <v>231</v>
      </c>
      <c r="H70" t="s">
        <v>34</v>
      </c>
      <c r="I70" s="4">
        <v>25713.46</v>
      </c>
      <c r="J70" t="s">
        <v>42</v>
      </c>
      <c r="K70" t="s">
        <v>35</v>
      </c>
      <c r="L70" t="s">
        <v>29</v>
      </c>
      <c r="M70">
        <v>2</v>
      </c>
    </row>
    <row r="71" spans="1:13" x14ac:dyDescent="0.25">
      <c r="A71" t="s">
        <v>232</v>
      </c>
      <c r="B71" t="s">
        <v>14</v>
      </c>
      <c r="C71">
        <v>52</v>
      </c>
      <c r="D71" t="s">
        <v>37</v>
      </c>
      <c r="E71" t="s">
        <v>38</v>
      </c>
      <c r="F71" t="s">
        <v>233</v>
      </c>
      <c r="G71" t="s">
        <v>234</v>
      </c>
      <c r="H71" t="s">
        <v>54</v>
      </c>
      <c r="I71" s="4">
        <v>6401.92</v>
      </c>
      <c r="J71" t="s">
        <v>29</v>
      </c>
      <c r="K71" t="s">
        <v>21</v>
      </c>
      <c r="L71" t="s">
        <v>29</v>
      </c>
      <c r="M71">
        <v>5</v>
      </c>
    </row>
    <row r="72" spans="1:13" x14ac:dyDescent="0.25">
      <c r="A72" t="s">
        <v>235</v>
      </c>
      <c r="B72" t="s">
        <v>14</v>
      </c>
      <c r="C72">
        <v>37</v>
      </c>
      <c r="D72" t="s">
        <v>15</v>
      </c>
      <c r="E72" t="s">
        <v>51</v>
      </c>
      <c r="F72" t="s">
        <v>236</v>
      </c>
      <c r="G72" t="s">
        <v>237</v>
      </c>
      <c r="H72" t="s">
        <v>54</v>
      </c>
      <c r="I72" s="4">
        <v>6276.22</v>
      </c>
      <c r="J72" t="s">
        <v>29</v>
      </c>
      <c r="K72" t="s">
        <v>21</v>
      </c>
      <c r="L72" t="s">
        <v>22</v>
      </c>
      <c r="M72">
        <v>1</v>
      </c>
    </row>
    <row r="73" spans="1:13" x14ac:dyDescent="0.25">
      <c r="A73" t="s">
        <v>238</v>
      </c>
      <c r="B73" t="s">
        <v>24</v>
      </c>
      <c r="C73">
        <v>56</v>
      </c>
      <c r="D73" t="s">
        <v>25</v>
      </c>
      <c r="E73" t="s">
        <v>51</v>
      </c>
      <c r="F73" t="s">
        <v>239</v>
      </c>
      <c r="G73" t="s">
        <v>81</v>
      </c>
      <c r="H73" t="s">
        <v>41</v>
      </c>
      <c r="I73" s="4">
        <v>72302.34</v>
      </c>
      <c r="J73" t="s">
        <v>42</v>
      </c>
      <c r="K73" t="s">
        <v>21</v>
      </c>
      <c r="L73" t="s">
        <v>22</v>
      </c>
      <c r="M73">
        <v>4</v>
      </c>
    </row>
    <row r="74" spans="1:13" x14ac:dyDescent="0.25">
      <c r="A74" t="s">
        <v>240</v>
      </c>
      <c r="B74" t="s">
        <v>14</v>
      </c>
      <c r="C74">
        <v>30</v>
      </c>
      <c r="D74" t="s">
        <v>37</v>
      </c>
      <c r="E74" t="s">
        <v>16</v>
      </c>
      <c r="F74" t="s">
        <v>241</v>
      </c>
      <c r="G74" t="s">
        <v>242</v>
      </c>
      <c r="H74" t="s">
        <v>41</v>
      </c>
      <c r="I74" s="4">
        <v>46622.65</v>
      </c>
      <c r="J74" t="s">
        <v>29</v>
      </c>
      <c r="K74" t="s">
        <v>35</v>
      </c>
      <c r="L74" t="s">
        <v>29</v>
      </c>
      <c r="M74">
        <v>4</v>
      </c>
    </row>
    <row r="75" spans="1:13" x14ac:dyDescent="0.25">
      <c r="A75" t="s">
        <v>243</v>
      </c>
      <c r="B75" t="s">
        <v>24</v>
      </c>
      <c r="C75">
        <v>32</v>
      </c>
      <c r="D75" t="s">
        <v>37</v>
      </c>
      <c r="E75" t="s">
        <v>38</v>
      </c>
      <c r="F75" t="s">
        <v>244</v>
      </c>
      <c r="G75" t="s">
        <v>234</v>
      </c>
      <c r="H75" t="s">
        <v>41</v>
      </c>
      <c r="I75" s="4">
        <v>47390.68</v>
      </c>
      <c r="J75" t="s">
        <v>29</v>
      </c>
      <c r="K75" t="s">
        <v>35</v>
      </c>
      <c r="L75" t="s">
        <v>22</v>
      </c>
      <c r="M75">
        <v>3</v>
      </c>
    </row>
    <row r="76" spans="1:13" x14ac:dyDescent="0.25">
      <c r="A76" t="s">
        <v>245</v>
      </c>
      <c r="B76" t="s">
        <v>14</v>
      </c>
      <c r="C76">
        <v>59</v>
      </c>
      <c r="D76" t="s">
        <v>31</v>
      </c>
      <c r="E76" t="s">
        <v>51</v>
      </c>
      <c r="F76" t="s">
        <v>246</v>
      </c>
      <c r="G76" t="s">
        <v>247</v>
      </c>
      <c r="H76" t="s">
        <v>28</v>
      </c>
      <c r="I76" s="4">
        <v>3058.84</v>
      </c>
      <c r="J76" t="s">
        <v>20</v>
      </c>
      <c r="K76" t="s">
        <v>35</v>
      </c>
      <c r="L76" t="s">
        <v>22</v>
      </c>
      <c r="M76">
        <v>5</v>
      </c>
    </row>
    <row r="77" spans="1:13" x14ac:dyDescent="0.25">
      <c r="A77" t="s">
        <v>248</v>
      </c>
      <c r="B77" t="s">
        <v>14</v>
      </c>
      <c r="C77">
        <v>24</v>
      </c>
      <c r="D77" t="s">
        <v>37</v>
      </c>
      <c r="E77" t="s">
        <v>51</v>
      </c>
      <c r="F77" t="s">
        <v>249</v>
      </c>
      <c r="G77" t="s">
        <v>250</v>
      </c>
      <c r="H77" t="s">
        <v>28</v>
      </c>
      <c r="I77" s="4">
        <v>10182.040000000001</v>
      </c>
      <c r="J77" t="s">
        <v>20</v>
      </c>
      <c r="K77" t="s">
        <v>35</v>
      </c>
      <c r="L77" t="s">
        <v>29</v>
      </c>
      <c r="M77">
        <v>5</v>
      </c>
    </row>
    <row r="78" spans="1:13" x14ac:dyDescent="0.25">
      <c r="A78" t="s">
        <v>251</v>
      </c>
      <c r="B78" t="s">
        <v>14</v>
      </c>
      <c r="C78">
        <v>59</v>
      </c>
      <c r="D78" t="s">
        <v>31</v>
      </c>
      <c r="E78" t="s">
        <v>51</v>
      </c>
      <c r="F78" t="s">
        <v>252</v>
      </c>
      <c r="G78" t="s">
        <v>253</v>
      </c>
      <c r="H78" t="s">
        <v>41</v>
      </c>
      <c r="I78" s="4">
        <v>48637.91</v>
      </c>
      <c r="J78" t="s">
        <v>29</v>
      </c>
      <c r="K78" t="s">
        <v>21</v>
      </c>
      <c r="L78" t="s">
        <v>22</v>
      </c>
      <c r="M78">
        <v>3</v>
      </c>
    </row>
    <row r="79" spans="1:13" x14ac:dyDescent="0.25">
      <c r="A79" t="s">
        <v>254</v>
      </c>
      <c r="B79" t="s">
        <v>14</v>
      </c>
      <c r="C79">
        <v>56</v>
      </c>
      <c r="D79" t="s">
        <v>31</v>
      </c>
      <c r="E79" t="s">
        <v>16</v>
      </c>
      <c r="F79" t="s">
        <v>255</v>
      </c>
      <c r="G79" t="s">
        <v>256</v>
      </c>
      <c r="H79" t="s">
        <v>41</v>
      </c>
      <c r="I79" s="4">
        <v>69426.899999999994</v>
      </c>
      <c r="J79" t="s">
        <v>42</v>
      </c>
      <c r="K79" t="s">
        <v>21</v>
      </c>
      <c r="L79" t="s">
        <v>29</v>
      </c>
      <c r="M79">
        <v>3</v>
      </c>
    </row>
    <row r="80" spans="1:13" x14ac:dyDescent="0.25">
      <c r="A80" t="s">
        <v>257</v>
      </c>
      <c r="B80" t="s">
        <v>24</v>
      </c>
      <c r="C80">
        <v>35</v>
      </c>
      <c r="D80" t="s">
        <v>47</v>
      </c>
      <c r="E80" t="s">
        <v>38</v>
      </c>
      <c r="F80" t="s">
        <v>258</v>
      </c>
      <c r="G80" t="s">
        <v>259</v>
      </c>
      <c r="H80" t="s">
        <v>19</v>
      </c>
      <c r="I80" s="4">
        <v>21646.78</v>
      </c>
      <c r="J80" t="s">
        <v>42</v>
      </c>
      <c r="K80" t="s">
        <v>35</v>
      </c>
      <c r="L80" t="s">
        <v>29</v>
      </c>
      <c r="M80">
        <v>3</v>
      </c>
    </row>
    <row r="81" spans="1:13" x14ac:dyDescent="0.25">
      <c r="A81" t="s">
        <v>260</v>
      </c>
      <c r="B81" t="s">
        <v>24</v>
      </c>
      <c r="C81">
        <v>59</v>
      </c>
      <c r="D81" t="s">
        <v>47</v>
      </c>
      <c r="E81" t="s">
        <v>51</v>
      </c>
      <c r="F81" t="s">
        <v>261</v>
      </c>
      <c r="G81" t="s">
        <v>262</v>
      </c>
      <c r="H81" t="s">
        <v>19</v>
      </c>
      <c r="I81" s="4">
        <v>19062.37</v>
      </c>
      <c r="J81" t="s">
        <v>20</v>
      </c>
      <c r="K81" t="s">
        <v>35</v>
      </c>
      <c r="L81" t="s">
        <v>22</v>
      </c>
      <c r="M81">
        <v>5</v>
      </c>
    </row>
    <row r="82" spans="1:13" x14ac:dyDescent="0.25">
      <c r="A82" t="s">
        <v>263</v>
      </c>
      <c r="B82" t="s">
        <v>14</v>
      </c>
      <c r="C82">
        <v>56</v>
      </c>
      <c r="D82" t="s">
        <v>31</v>
      </c>
      <c r="E82" t="s">
        <v>51</v>
      </c>
      <c r="F82" t="s">
        <v>264</v>
      </c>
      <c r="G82" t="s">
        <v>265</v>
      </c>
      <c r="H82" t="s">
        <v>28</v>
      </c>
      <c r="I82" s="4">
        <v>24943.26</v>
      </c>
      <c r="J82" t="s">
        <v>20</v>
      </c>
      <c r="K82" t="s">
        <v>35</v>
      </c>
      <c r="L82" t="s">
        <v>29</v>
      </c>
      <c r="M82">
        <v>4</v>
      </c>
    </row>
    <row r="83" spans="1:13" x14ac:dyDescent="0.25">
      <c r="A83" t="s">
        <v>266</v>
      </c>
      <c r="B83" t="s">
        <v>24</v>
      </c>
      <c r="C83">
        <v>47</v>
      </c>
      <c r="D83" t="s">
        <v>37</v>
      </c>
      <c r="E83" t="s">
        <v>16</v>
      </c>
      <c r="F83" t="s">
        <v>267</v>
      </c>
      <c r="G83" t="s">
        <v>268</v>
      </c>
      <c r="H83" t="s">
        <v>19</v>
      </c>
      <c r="I83" s="4">
        <v>11851.65</v>
      </c>
      <c r="J83" t="s">
        <v>29</v>
      </c>
      <c r="K83" t="s">
        <v>35</v>
      </c>
      <c r="L83" t="s">
        <v>29</v>
      </c>
      <c r="M83">
        <v>2</v>
      </c>
    </row>
    <row r="84" spans="1:13" x14ac:dyDescent="0.25">
      <c r="A84" t="s">
        <v>269</v>
      </c>
      <c r="B84" t="s">
        <v>14</v>
      </c>
      <c r="C84">
        <v>44</v>
      </c>
      <c r="D84" t="s">
        <v>31</v>
      </c>
      <c r="E84" t="s">
        <v>38</v>
      </c>
      <c r="F84" t="s">
        <v>270</v>
      </c>
      <c r="G84" t="s">
        <v>271</v>
      </c>
      <c r="H84" t="s">
        <v>19</v>
      </c>
      <c r="I84" s="4">
        <v>15145.5</v>
      </c>
      <c r="J84" t="s">
        <v>29</v>
      </c>
      <c r="K84" t="s">
        <v>35</v>
      </c>
      <c r="L84" t="s">
        <v>22</v>
      </c>
      <c r="M84">
        <v>1</v>
      </c>
    </row>
    <row r="85" spans="1:13" x14ac:dyDescent="0.25">
      <c r="A85" t="s">
        <v>272</v>
      </c>
      <c r="B85" t="s">
        <v>24</v>
      </c>
      <c r="C85">
        <v>19</v>
      </c>
      <c r="D85" t="s">
        <v>31</v>
      </c>
      <c r="E85" t="s">
        <v>38</v>
      </c>
      <c r="F85" t="s">
        <v>273</v>
      </c>
      <c r="G85" t="s">
        <v>274</v>
      </c>
      <c r="H85" t="s">
        <v>34</v>
      </c>
      <c r="I85" s="4">
        <v>9858.75</v>
      </c>
      <c r="J85" t="s">
        <v>29</v>
      </c>
      <c r="K85" t="s">
        <v>21</v>
      </c>
      <c r="L85" t="s">
        <v>29</v>
      </c>
      <c r="M85">
        <v>2</v>
      </c>
    </row>
    <row r="86" spans="1:13" x14ac:dyDescent="0.25">
      <c r="A86" t="s">
        <v>275</v>
      </c>
      <c r="B86" t="s">
        <v>24</v>
      </c>
      <c r="C86">
        <v>47</v>
      </c>
      <c r="D86" t="s">
        <v>31</v>
      </c>
      <c r="E86" t="s">
        <v>38</v>
      </c>
      <c r="F86" t="s">
        <v>276</v>
      </c>
      <c r="G86" t="s">
        <v>277</v>
      </c>
      <c r="H86" t="s">
        <v>41</v>
      </c>
      <c r="I86" s="4">
        <v>56522.95</v>
      </c>
      <c r="J86" t="s">
        <v>20</v>
      </c>
      <c r="K86" t="s">
        <v>35</v>
      </c>
      <c r="L86" t="s">
        <v>22</v>
      </c>
      <c r="M86">
        <v>3</v>
      </c>
    </row>
    <row r="87" spans="1:13" x14ac:dyDescent="0.25">
      <c r="A87" t="s">
        <v>278</v>
      </c>
      <c r="B87" t="s">
        <v>14</v>
      </c>
      <c r="C87">
        <v>35</v>
      </c>
      <c r="D87" t="s">
        <v>25</v>
      </c>
      <c r="E87" t="s">
        <v>38</v>
      </c>
      <c r="F87" t="s">
        <v>279</v>
      </c>
      <c r="G87" t="s">
        <v>280</v>
      </c>
      <c r="H87" t="s">
        <v>34</v>
      </c>
      <c r="I87" s="4">
        <v>8824.85</v>
      </c>
      <c r="J87" t="s">
        <v>42</v>
      </c>
      <c r="K87" t="s">
        <v>35</v>
      </c>
      <c r="L87" t="s">
        <v>22</v>
      </c>
      <c r="M87">
        <v>1</v>
      </c>
    </row>
    <row r="88" spans="1:13" x14ac:dyDescent="0.25">
      <c r="A88" t="s">
        <v>281</v>
      </c>
      <c r="B88" t="s">
        <v>14</v>
      </c>
      <c r="C88">
        <v>53</v>
      </c>
      <c r="D88" t="s">
        <v>25</v>
      </c>
      <c r="E88" t="s">
        <v>38</v>
      </c>
      <c r="F88" t="s">
        <v>282</v>
      </c>
      <c r="G88" t="s">
        <v>283</v>
      </c>
      <c r="H88" t="s">
        <v>54</v>
      </c>
      <c r="I88" s="4">
        <v>9305.7199999999993</v>
      </c>
      <c r="J88" t="s">
        <v>42</v>
      </c>
      <c r="K88" t="s">
        <v>35</v>
      </c>
      <c r="L88" t="s">
        <v>29</v>
      </c>
      <c r="M88">
        <v>4</v>
      </c>
    </row>
    <row r="89" spans="1:13" x14ac:dyDescent="0.25">
      <c r="A89" t="s">
        <v>284</v>
      </c>
      <c r="B89" t="s">
        <v>14</v>
      </c>
      <c r="C89">
        <v>54</v>
      </c>
      <c r="D89" t="s">
        <v>15</v>
      </c>
      <c r="E89" t="s">
        <v>38</v>
      </c>
      <c r="F89" t="s">
        <v>285</v>
      </c>
      <c r="G89" t="s">
        <v>286</v>
      </c>
      <c r="H89" t="s">
        <v>54</v>
      </c>
      <c r="I89" s="4">
        <v>8253.17</v>
      </c>
      <c r="J89" t="s">
        <v>29</v>
      </c>
      <c r="K89" t="s">
        <v>35</v>
      </c>
      <c r="L89" t="s">
        <v>22</v>
      </c>
      <c r="M89">
        <v>4</v>
      </c>
    </row>
    <row r="90" spans="1:13" x14ac:dyDescent="0.25">
      <c r="A90" t="s">
        <v>287</v>
      </c>
      <c r="B90" t="s">
        <v>14</v>
      </c>
      <c r="C90">
        <v>38</v>
      </c>
      <c r="D90" t="s">
        <v>15</v>
      </c>
      <c r="E90" t="s">
        <v>51</v>
      </c>
      <c r="F90" t="s">
        <v>288</v>
      </c>
      <c r="G90" t="s">
        <v>289</v>
      </c>
      <c r="H90" t="s">
        <v>19</v>
      </c>
      <c r="I90" s="4">
        <v>25914.52</v>
      </c>
      <c r="J90" t="s">
        <v>20</v>
      </c>
      <c r="K90" t="s">
        <v>35</v>
      </c>
      <c r="L90" t="s">
        <v>29</v>
      </c>
      <c r="M90">
        <v>3</v>
      </c>
    </row>
    <row r="91" spans="1:13" x14ac:dyDescent="0.25">
      <c r="A91" t="s">
        <v>290</v>
      </c>
      <c r="B91" t="s">
        <v>24</v>
      </c>
      <c r="C91">
        <v>23</v>
      </c>
      <c r="D91" t="s">
        <v>15</v>
      </c>
      <c r="E91" t="s">
        <v>16</v>
      </c>
      <c r="F91" t="s">
        <v>291</v>
      </c>
      <c r="G91" t="s">
        <v>292</v>
      </c>
      <c r="H91" t="s">
        <v>19</v>
      </c>
      <c r="I91" s="4">
        <v>7286.62</v>
      </c>
      <c r="J91" t="s">
        <v>29</v>
      </c>
      <c r="K91" t="s">
        <v>35</v>
      </c>
      <c r="L91" t="s">
        <v>22</v>
      </c>
      <c r="M91">
        <v>5</v>
      </c>
    </row>
    <row r="92" spans="1:13" x14ac:dyDescent="0.25">
      <c r="A92" t="s">
        <v>293</v>
      </c>
      <c r="B92" t="s">
        <v>14</v>
      </c>
      <c r="C92">
        <v>51</v>
      </c>
      <c r="D92" t="s">
        <v>31</v>
      </c>
      <c r="E92" t="s">
        <v>51</v>
      </c>
      <c r="F92" t="s">
        <v>294</v>
      </c>
      <c r="G92" t="s">
        <v>295</v>
      </c>
      <c r="H92" t="s">
        <v>41</v>
      </c>
      <c r="I92" s="4">
        <v>60454.13</v>
      </c>
      <c r="J92" t="s">
        <v>20</v>
      </c>
      <c r="K92" t="s">
        <v>21</v>
      </c>
      <c r="L92" t="s">
        <v>22</v>
      </c>
      <c r="M92">
        <v>3</v>
      </c>
    </row>
    <row r="93" spans="1:13" x14ac:dyDescent="0.25">
      <c r="A93" t="s">
        <v>296</v>
      </c>
      <c r="B93" t="s">
        <v>24</v>
      </c>
      <c r="C93">
        <v>60</v>
      </c>
      <c r="D93" t="s">
        <v>37</v>
      </c>
      <c r="E93" t="s">
        <v>38</v>
      </c>
      <c r="F93" t="s">
        <v>297</v>
      </c>
      <c r="G93" t="s">
        <v>298</v>
      </c>
      <c r="H93" t="s">
        <v>28</v>
      </c>
      <c r="I93" s="4">
        <v>10810.16</v>
      </c>
      <c r="J93" t="s">
        <v>29</v>
      </c>
      <c r="K93" t="s">
        <v>35</v>
      </c>
      <c r="L93" t="s">
        <v>22</v>
      </c>
      <c r="M93">
        <v>2</v>
      </c>
    </row>
    <row r="94" spans="1:13" x14ac:dyDescent="0.25">
      <c r="A94" t="s">
        <v>299</v>
      </c>
      <c r="B94" t="s">
        <v>14</v>
      </c>
      <c r="C94">
        <v>52</v>
      </c>
      <c r="D94" t="s">
        <v>15</v>
      </c>
      <c r="E94" t="s">
        <v>51</v>
      </c>
      <c r="F94" t="s">
        <v>300</v>
      </c>
      <c r="G94" t="s">
        <v>301</v>
      </c>
      <c r="H94" t="s">
        <v>19</v>
      </c>
      <c r="I94" s="4">
        <v>27369.56</v>
      </c>
      <c r="J94" t="s">
        <v>29</v>
      </c>
      <c r="K94" t="s">
        <v>35</v>
      </c>
      <c r="L94" t="s">
        <v>29</v>
      </c>
      <c r="M94">
        <v>4</v>
      </c>
    </row>
    <row r="95" spans="1:13" x14ac:dyDescent="0.25">
      <c r="A95" t="s">
        <v>302</v>
      </c>
      <c r="B95" t="s">
        <v>24</v>
      </c>
      <c r="C95">
        <v>20</v>
      </c>
      <c r="D95" t="s">
        <v>25</v>
      </c>
      <c r="E95" t="s">
        <v>16</v>
      </c>
      <c r="F95" t="s">
        <v>303</v>
      </c>
      <c r="G95" t="s">
        <v>304</v>
      </c>
      <c r="H95" t="s">
        <v>54</v>
      </c>
      <c r="I95" s="4">
        <v>1869.35</v>
      </c>
      <c r="J95" t="s">
        <v>20</v>
      </c>
      <c r="K95" t="s">
        <v>35</v>
      </c>
      <c r="L95" t="s">
        <v>22</v>
      </c>
      <c r="M95">
        <v>5</v>
      </c>
    </row>
    <row r="96" spans="1:13" x14ac:dyDescent="0.25">
      <c r="A96" t="s">
        <v>305</v>
      </c>
      <c r="B96" t="s">
        <v>14</v>
      </c>
      <c r="C96">
        <v>20</v>
      </c>
      <c r="D96" t="s">
        <v>25</v>
      </c>
      <c r="E96" t="s">
        <v>51</v>
      </c>
      <c r="F96" t="s">
        <v>306</v>
      </c>
      <c r="G96" t="s">
        <v>307</v>
      </c>
      <c r="H96" t="s">
        <v>28</v>
      </c>
      <c r="I96" s="4">
        <v>13183.46</v>
      </c>
      <c r="J96" t="s">
        <v>42</v>
      </c>
      <c r="K96" t="s">
        <v>21</v>
      </c>
      <c r="L96" t="s">
        <v>29</v>
      </c>
      <c r="M96">
        <v>3</v>
      </c>
    </row>
    <row r="97" spans="1:13" x14ac:dyDescent="0.25">
      <c r="A97" t="s">
        <v>308</v>
      </c>
      <c r="B97" t="s">
        <v>24</v>
      </c>
      <c r="C97">
        <v>51</v>
      </c>
      <c r="D97" t="s">
        <v>47</v>
      </c>
      <c r="E97" t="s">
        <v>38</v>
      </c>
      <c r="F97" t="s">
        <v>309</v>
      </c>
      <c r="G97" t="s">
        <v>310</v>
      </c>
      <c r="H97" t="s">
        <v>41</v>
      </c>
      <c r="I97" s="4">
        <v>51538.559999999998</v>
      </c>
      <c r="J97" t="s">
        <v>20</v>
      </c>
      <c r="K97" t="s">
        <v>35</v>
      </c>
      <c r="L97" t="s">
        <v>29</v>
      </c>
      <c r="M97">
        <v>1</v>
      </c>
    </row>
    <row r="98" spans="1:13" x14ac:dyDescent="0.25">
      <c r="A98" t="s">
        <v>311</v>
      </c>
      <c r="B98" t="s">
        <v>14</v>
      </c>
      <c r="C98">
        <v>22</v>
      </c>
      <c r="D98" t="s">
        <v>47</v>
      </c>
      <c r="E98" t="s">
        <v>51</v>
      </c>
      <c r="F98" t="s">
        <v>312</v>
      </c>
      <c r="G98" t="s">
        <v>78</v>
      </c>
      <c r="H98" t="s">
        <v>28</v>
      </c>
      <c r="I98" s="4">
        <v>6497.33</v>
      </c>
      <c r="J98" t="s">
        <v>20</v>
      </c>
      <c r="K98" t="s">
        <v>21</v>
      </c>
      <c r="L98" t="s">
        <v>29</v>
      </c>
      <c r="M98">
        <v>4</v>
      </c>
    </row>
    <row r="99" spans="1:13" x14ac:dyDescent="0.25">
      <c r="A99" t="s">
        <v>313</v>
      </c>
      <c r="B99" t="s">
        <v>24</v>
      </c>
      <c r="C99">
        <v>22</v>
      </c>
      <c r="D99" t="s">
        <v>25</v>
      </c>
      <c r="E99" t="s">
        <v>16</v>
      </c>
      <c r="F99" t="s">
        <v>44</v>
      </c>
      <c r="G99" t="s">
        <v>78</v>
      </c>
      <c r="H99" t="s">
        <v>28</v>
      </c>
      <c r="I99" s="4">
        <v>14292.21</v>
      </c>
      <c r="J99" t="s">
        <v>29</v>
      </c>
      <c r="K99" t="s">
        <v>35</v>
      </c>
      <c r="L99" t="s">
        <v>29</v>
      </c>
      <c r="M99">
        <v>1</v>
      </c>
    </row>
    <row r="100" spans="1:13" x14ac:dyDescent="0.25">
      <c r="A100" t="s">
        <v>314</v>
      </c>
      <c r="B100" t="s">
        <v>24</v>
      </c>
      <c r="C100">
        <v>34</v>
      </c>
      <c r="D100" t="s">
        <v>31</v>
      </c>
      <c r="E100" t="s">
        <v>38</v>
      </c>
      <c r="F100" t="s">
        <v>315</v>
      </c>
      <c r="G100" t="s">
        <v>124</v>
      </c>
      <c r="H100" t="s">
        <v>19</v>
      </c>
      <c r="I100" s="4">
        <v>13119.46</v>
      </c>
      <c r="J100" t="s">
        <v>20</v>
      </c>
      <c r="K100" t="s">
        <v>35</v>
      </c>
      <c r="L100" t="s">
        <v>29</v>
      </c>
      <c r="M100">
        <v>5</v>
      </c>
    </row>
    <row r="101" spans="1:13" x14ac:dyDescent="0.25">
      <c r="A101" t="s">
        <v>316</v>
      </c>
      <c r="B101" t="s">
        <v>14</v>
      </c>
      <c r="C101">
        <v>40</v>
      </c>
      <c r="D101" t="s">
        <v>47</v>
      </c>
      <c r="E101" t="s">
        <v>38</v>
      </c>
      <c r="F101" t="s">
        <v>317</v>
      </c>
      <c r="G101" t="s">
        <v>318</v>
      </c>
      <c r="H101" t="s">
        <v>34</v>
      </c>
      <c r="I101" s="4">
        <v>21774.42</v>
      </c>
      <c r="J101" t="s">
        <v>20</v>
      </c>
      <c r="K101" t="s">
        <v>35</v>
      </c>
      <c r="L101" t="s">
        <v>22</v>
      </c>
      <c r="M101">
        <v>1</v>
      </c>
    </row>
    <row r="102" spans="1:13" x14ac:dyDescent="0.25">
      <c r="A102" t="s">
        <v>319</v>
      </c>
      <c r="B102" t="s">
        <v>24</v>
      </c>
      <c r="C102">
        <v>41</v>
      </c>
      <c r="D102" t="s">
        <v>37</v>
      </c>
      <c r="E102" t="s">
        <v>16</v>
      </c>
      <c r="F102" t="s">
        <v>320</v>
      </c>
      <c r="G102" t="s">
        <v>321</v>
      </c>
      <c r="H102" t="s">
        <v>19</v>
      </c>
      <c r="I102" s="4">
        <v>8623.2900000000009</v>
      </c>
      <c r="J102" t="s">
        <v>20</v>
      </c>
      <c r="K102" t="s">
        <v>35</v>
      </c>
      <c r="L102" t="s">
        <v>22</v>
      </c>
      <c r="M102">
        <v>5</v>
      </c>
    </row>
    <row r="103" spans="1:13" x14ac:dyDescent="0.25">
      <c r="A103" t="s">
        <v>322</v>
      </c>
      <c r="B103" t="s">
        <v>14</v>
      </c>
      <c r="C103">
        <v>53</v>
      </c>
      <c r="D103" t="s">
        <v>47</v>
      </c>
      <c r="E103" t="s">
        <v>38</v>
      </c>
      <c r="F103" t="s">
        <v>323</v>
      </c>
      <c r="G103" t="s">
        <v>218</v>
      </c>
      <c r="H103" t="s">
        <v>19</v>
      </c>
      <c r="I103" s="4">
        <v>13059.25</v>
      </c>
      <c r="J103" t="s">
        <v>20</v>
      </c>
      <c r="K103" t="s">
        <v>35</v>
      </c>
      <c r="L103" t="s">
        <v>29</v>
      </c>
      <c r="M103">
        <v>4</v>
      </c>
    </row>
    <row r="104" spans="1:13" x14ac:dyDescent="0.25">
      <c r="A104" t="s">
        <v>324</v>
      </c>
      <c r="B104" t="s">
        <v>24</v>
      </c>
      <c r="C104">
        <v>54</v>
      </c>
      <c r="D104" t="s">
        <v>37</v>
      </c>
      <c r="E104" t="s">
        <v>38</v>
      </c>
      <c r="F104" t="s">
        <v>325</v>
      </c>
      <c r="G104" t="s">
        <v>326</v>
      </c>
      <c r="H104" t="s">
        <v>19</v>
      </c>
      <c r="I104" s="4">
        <v>18215.29</v>
      </c>
      <c r="J104" t="s">
        <v>29</v>
      </c>
      <c r="K104" t="s">
        <v>21</v>
      </c>
      <c r="L104" t="s">
        <v>22</v>
      </c>
      <c r="M104">
        <v>2</v>
      </c>
    </row>
    <row r="105" spans="1:13" x14ac:dyDescent="0.25">
      <c r="A105" t="s">
        <v>327</v>
      </c>
      <c r="B105" t="s">
        <v>14</v>
      </c>
      <c r="C105">
        <v>35</v>
      </c>
      <c r="D105" t="s">
        <v>37</v>
      </c>
      <c r="E105" t="s">
        <v>38</v>
      </c>
      <c r="F105" t="s">
        <v>328</v>
      </c>
      <c r="G105" t="s">
        <v>329</v>
      </c>
      <c r="H105" t="s">
        <v>54</v>
      </c>
      <c r="I105" s="4">
        <v>8477.02</v>
      </c>
      <c r="J105" t="s">
        <v>42</v>
      </c>
      <c r="K105" t="s">
        <v>21</v>
      </c>
      <c r="L105" t="s">
        <v>29</v>
      </c>
      <c r="M105">
        <v>5</v>
      </c>
    </row>
    <row r="106" spans="1:13" x14ac:dyDescent="0.25">
      <c r="A106" t="s">
        <v>330</v>
      </c>
      <c r="B106" t="s">
        <v>14</v>
      </c>
      <c r="C106">
        <v>29</v>
      </c>
      <c r="D106" t="s">
        <v>37</v>
      </c>
      <c r="E106" t="s">
        <v>16</v>
      </c>
      <c r="F106" t="s">
        <v>331</v>
      </c>
      <c r="G106" t="s">
        <v>332</v>
      </c>
      <c r="H106" t="s">
        <v>19</v>
      </c>
      <c r="I106" s="4">
        <v>27401.4</v>
      </c>
      <c r="J106" t="s">
        <v>20</v>
      </c>
      <c r="K106" t="s">
        <v>21</v>
      </c>
      <c r="L106" t="s">
        <v>29</v>
      </c>
      <c r="M106">
        <v>1</v>
      </c>
    </row>
    <row r="107" spans="1:13" x14ac:dyDescent="0.25">
      <c r="A107" t="s">
        <v>333</v>
      </c>
      <c r="B107" t="s">
        <v>24</v>
      </c>
      <c r="C107">
        <v>57</v>
      </c>
      <c r="D107" t="s">
        <v>31</v>
      </c>
      <c r="E107" t="s">
        <v>38</v>
      </c>
      <c r="F107" t="s">
        <v>334</v>
      </c>
      <c r="G107" t="s">
        <v>265</v>
      </c>
      <c r="H107" t="s">
        <v>19</v>
      </c>
      <c r="I107" s="4">
        <v>11714.84</v>
      </c>
      <c r="J107" t="s">
        <v>20</v>
      </c>
      <c r="K107" t="s">
        <v>21</v>
      </c>
      <c r="L107" t="s">
        <v>29</v>
      </c>
      <c r="M107">
        <v>1</v>
      </c>
    </row>
    <row r="108" spans="1:13" x14ac:dyDescent="0.25">
      <c r="A108" t="s">
        <v>335</v>
      </c>
      <c r="B108" t="s">
        <v>14</v>
      </c>
      <c r="C108">
        <v>47</v>
      </c>
      <c r="D108" t="s">
        <v>25</v>
      </c>
      <c r="E108" t="s">
        <v>51</v>
      </c>
      <c r="F108" t="s">
        <v>336</v>
      </c>
      <c r="G108" t="s">
        <v>337</v>
      </c>
      <c r="H108" t="s">
        <v>54</v>
      </c>
      <c r="I108" s="4">
        <v>8323.57</v>
      </c>
      <c r="J108" t="s">
        <v>42</v>
      </c>
      <c r="K108" t="s">
        <v>21</v>
      </c>
      <c r="L108" t="s">
        <v>22</v>
      </c>
      <c r="M108">
        <v>1</v>
      </c>
    </row>
    <row r="109" spans="1:13" x14ac:dyDescent="0.25">
      <c r="A109" t="s">
        <v>338</v>
      </c>
      <c r="B109" t="s">
        <v>24</v>
      </c>
      <c r="C109">
        <v>33</v>
      </c>
      <c r="D109" t="s">
        <v>37</v>
      </c>
      <c r="E109" t="s">
        <v>38</v>
      </c>
      <c r="F109" t="s">
        <v>156</v>
      </c>
      <c r="G109" t="s">
        <v>318</v>
      </c>
      <c r="H109" t="s">
        <v>34</v>
      </c>
      <c r="I109" s="4">
        <v>11781.45</v>
      </c>
      <c r="J109" t="s">
        <v>29</v>
      </c>
      <c r="K109" t="s">
        <v>21</v>
      </c>
      <c r="L109" t="s">
        <v>22</v>
      </c>
      <c r="M109">
        <v>5</v>
      </c>
    </row>
    <row r="110" spans="1:13" x14ac:dyDescent="0.25">
      <c r="A110" t="s">
        <v>339</v>
      </c>
      <c r="B110" t="s">
        <v>24</v>
      </c>
      <c r="C110">
        <v>22</v>
      </c>
      <c r="D110" t="s">
        <v>31</v>
      </c>
      <c r="E110" t="s">
        <v>16</v>
      </c>
      <c r="F110" t="s">
        <v>340</v>
      </c>
      <c r="G110" t="s">
        <v>178</v>
      </c>
      <c r="H110" t="s">
        <v>34</v>
      </c>
      <c r="I110" s="4">
        <v>27597.360000000001</v>
      </c>
      <c r="J110" t="s">
        <v>20</v>
      </c>
      <c r="K110" t="s">
        <v>21</v>
      </c>
      <c r="L110" t="s">
        <v>29</v>
      </c>
      <c r="M110">
        <v>5</v>
      </c>
    </row>
    <row r="111" spans="1:13" x14ac:dyDescent="0.25">
      <c r="A111" t="s">
        <v>341</v>
      </c>
      <c r="B111" t="s">
        <v>14</v>
      </c>
      <c r="C111">
        <v>45</v>
      </c>
      <c r="D111" t="s">
        <v>25</v>
      </c>
      <c r="E111" t="s">
        <v>38</v>
      </c>
      <c r="F111" t="s">
        <v>331</v>
      </c>
      <c r="G111" t="s">
        <v>342</v>
      </c>
      <c r="H111" t="s">
        <v>28</v>
      </c>
      <c r="I111" s="4">
        <v>5568.79</v>
      </c>
      <c r="J111" t="s">
        <v>20</v>
      </c>
      <c r="K111" t="s">
        <v>21</v>
      </c>
      <c r="L111" t="s">
        <v>22</v>
      </c>
      <c r="M111">
        <v>2</v>
      </c>
    </row>
    <row r="112" spans="1:13" x14ac:dyDescent="0.25">
      <c r="A112" t="s">
        <v>343</v>
      </c>
      <c r="B112" t="s">
        <v>24</v>
      </c>
      <c r="C112">
        <v>39</v>
      </c>
      <c r="D112" t="s">
        <v>37</v>
      </c>
      <c r="E112" t="s">
        <v>51</v>
      </c>
      <c r="F112" t="s">
        <v>344</v>
      </c>
      <c r="G112" t="s">
        <v>345</v>
      </c>
      <c r="H112" t="s">
        <v>54</v>
      </c>
      <c r="I112" s="4">
        <v>9718.92</v>
      </c>
      <c r="J112" t="s">
        <v>29</v>
      </c>
      <c r="K112" t="s">
        <v>35</v>
      </c>
      <c r="L112" t="s">
        <v>29</v>
      </c>
      <c r="M112">
        <v>5</v>
      </c>
    </row>
    <row r="113" spans="1:13" x14ac:dyDescent="0.25">
      <c r="A113" t="s">
        <v>346</v>
      </c>
      <c r="B113" t="s">
        <v>14</v>
      </c>
      <c r="C113">
        <v>22</v>
      </c>
      <c r="D113" t="s">
        <v>25</v>
      </c>
      <c r="E113" t="s">
        <v>51</v>
      </c>
      <c r="F113" t="s">
        <v>347</v>
      </c>
      <c r="G113" t="s">
        <v>234</v>
      </c>
      <c r="H113" t="s">
        <v>54</v>
      </c>
      <c r="I113" s="4">
        <v>2209.8000000000002</v>
      </c>
      <c r="J113" t="s">
        <v>20</v>
      </c>
      <c r="K113" t="s">
        <v>21</v>
      </c>
      <c r="L113" t="s">
        <v>22</v>
      </c>
      <c r="M113">
        <v>2</v>
      </c>
    </row>
    <row r="114" spans="1:13" x14ac:dyDescent="0.25">
      <c r="A114" t="s">
        <v>348</v>
      </c>
      <c r="B114" t="s">
        <v>24</v>
      </c>
      <c r="C114">
        <v>50</v>
      </c>
      <c r="D114" t="s">
        <v>15</v>
      </c>
      <c r="E114" t="s">
        <v>38</v>
      </c>
      <c r="F114" t="s">
        <v>349</v>
      </c>
      <c r="G114" t="s">
        <v>60</v>
      </c>
      <c r="H114" t="s">
        <v>41</v>
      </c>
      <c r="I114" s="4">
        <v>15370.72</v>
      </c>
      <c r="J114" t="s">
        <v>29</v>
      </c>
      <c r="K114" t="s">
        <v>21</v>
      </c>
      <c r="L114" t="s">
        <v>29</v>
      </c>
      <c r="M114">
        <v>5</v>
      </c>
    </row>
    <row r="115" spans="1:13" x14ac:dyDescent="0.25">
      <c r="A115" t="s">
        <v>350</v>
      </c>
      <c r="B115" t="s">
        <v>14</v>
      </c>
      <c r="C115">
        <v>45</v>
      </c>
      <c r="D115" t="s">
        <v>31</v>
      </c>
      <c r="E115" t="s">
        <v>38</v>
      </c>
      <c r="F115" t="s">
        <v>351</v>
      </c>
      <c r="G115" t="s">
        <v>352</v>
      </c>
      <c r="H115" t="s">
        <v>28</v>
      </c>
      <c r="I115" s="4">
        <v>9682.24</v>
      </c>
      <c r="J115" t="s">
        <v>20</v>
      </c>
      <c r="K115" t="s">
        <v>21</v>
      </c>
      <c r="L115" t="s">
        <v>29</v>
      </c>
      <c r="M115">
        <v>5</v>
      </c>
    </row>
    <row r="116" spans="1:13" x14ac:dyDescent="0.25">
      <c r="A116" t="s">
        <v>353</v>
      </c>
      <c r="B116" t="s">
        <v>24</v>
      </c>
      <c r="C116">
        <v>24</v>
      </c>
      <c r="D116" t="s">
        <v>25</v>
      </c>
      <c r="E116" t="s">
        <v>51</v>
      </c>
      <c r="F116" t="s">
        <v>354</v>
      </c>
      <c r="G116" t="s">
        <v>355</v>
      </c>
      <c r="H116" t="s">
        <v>41</v>
      </c>
      <c r="I116" s="4">
        <v>51079.13</v>
      </c>
      <c r="J116" t="s">
        <v>20</v>
      </c>
      <c r="K116" t="s">
        <v>35</v>
      </c>
      <c r="L116" t="s">
        <v>22</v>
      </c>
      <c r="M116">
        <v>1</v>
      </c>
    </row>
    <row r="117" spans="1:13" x14ac:dyDescent="0.25">
      <c r="A117" t="s">
        <v>356</v>
      </c>
      <c r="B117" t="s">
        <v>14</v>
      </c>
      <c r="C117">
        <v>21</v>
      </c>
      <c r="D117" t="s">
        <v>31</v>
      </c>
      <c r="E117" t="s">
        <v>38</v>
      </c>
      <c r="F117" t="s">
        <v>65</v>
      </c>
      <c r="G117" t="s">
        <v>357</v>
      </c>
      <c r="H117" t="s">
        <v>19</v>
      </c>
      <c r="I117" s="4">
        <v>23682.81</v>
      </c>
      <c r="J117" t="s">
        <v>29</v>
      </c>
      <c r="K117" t="s">
        <v>35</v>
      </c>
      <c r="L117" t="s">
        <v>22</v>
      </c>
      <c r="M117">
        <v>1</v>
      </c>
    </row>
    <row r="118" spans="1:13" x14ac:dyDescent="0.25">
      <c r="A118" t="s">
        <v>358</v>
      </c>
      <c r="B118" t="s">
        <v>14</v>
      </c>
      <c r="C118">
        <v>20</v>
      </c>
      <c r="D118" t="s">
        <v>25</v>
      </c>
      <c r="E118" t="s">
        <v>16</v>
      </c>
      <c r="F118" t="s">
        <v>359</v>
      </c>
      <c r="G118" t="s">
        <v>298</v>
      </c>
      <c r="H118" t="s">
        <v>54</v>
      </c>
      <c r="I118" s="4">
        <v>7917.99</v>
      </c>
      <c r="J118" t="s">
        <v>20</v>
      </c>
      <c r="K118" t="s">
        <v>35</v>
      </c>
      <c r="L118" t="s">
        <v>29</v>
      </c>
      <c r="M118">
        <v>1</v>
      </c>
    </row>
    <row r="119" spans="1:13" x14ac:dyDescent="0.25">
      <c r="A119" t="s">
        <v>360</v>
      </c>
      <c r="B119" t="s">
        <v>14</v>
      </c>
      <c r="C119">
        <v>20</v>
      </c>
      <c r="D119" t="s">
        <v>47</v>
      </c>
      <c r="E119" t="s">
        <v>38</v>
      </c>
      <c r="F119" t="s">
        <v>361</v>
      </c>
      <c r="G119" t="s">
        <v>196</v>
      </c>
      <c r="H119" t="s">
        <v>28</v>
      </c>
      <c r="I119" s="4">
        <v>16445.009999999998</v>
      </c>
      <c r="J119" t="s">
        <v>42</v>
      </c>
      <c r="K119" t="s">
        <v>21</v>
      </c>
      <c r="L119" t="s">
        <v>29</v>
      </c>
      <c r="M119">
        <v>1</v>
      </c>
    </row>
    <row r="120" spans="1:13" x14ac:dyDescent="0.25">
      <c r="A120" t="s">
        <v>362</v>
      </c>
      <c r="B120" t="s">
        <v>14</v>
      </c>
      <c r="C120">
        <v>43</v>
      </c>
      <c r="D120" t="s">
        <v>31</v>
      </c>
      <c r="E120" t="s">
        <v>38</v>
      </c>
      <c r="F120" t="s">
        <v>363</v>
      </c>
      <c r="G120" t="s">
        <v>364</v>
      </c>
      <c r="H120" t="s">
        <v>28</v>
      </c>
      <c r="I120" s="4">
        <v>25812.87</v>
      </c>
      <c r="J120" t="s">
        <v>20</v>
      </c>
      <c r="K120" t="s">
        <v>21</v>
      </c>
      <c r="L120" t="s">
        <v>22</v>
      </c>
      <c r="M120">
        <v>3</v>
      </c>
    </row>
    <row r="121" spans="1:13" x14ac:dyDescent="0.25">
      <c r="A121" t="s">
        <v>365</v>
      </c>
      <c r="B121" t="s">
        <v>14</v>
      </c>
      <c r="C121">
        <v>23</v>
      </c>
      <c r="D121" t="s">
        <v>15</v>
      </c>
      <c r="E121" t="s">
        <v>51</v>
      </c>
      <c r="F121" t="s">
        <v>44</v>
      </c>
      <c r="G121" t="s">
        <v>366</v>
      </c>
      <c r="H121" t="s">
        <v>54</v>
      </c>
      <c r="I121" s="4">
        <v>2388.36</v>
      </c>
      <c r="J121" t="s">
        <v>42</v>
      </c>
      <c r="K121" t="s">
        <v>35</v>
      </c>
      <c r="L121" t="s">
        <v>29</v>
      </c>
      <c r="M121">
        <v>1</v>
      </c>
    </row>
    <row r="122" spans="1:13" x14ac:dyDescent="0.25">
      <c r="A122" t="s">
        <v>367</v>
      </c>
      <c r="B122" t="s">
        <v>14</v>
      </c>
      <c r="C122">
        <v>33</v>
      </c>
      <c r="D122" t="s">
        <v>37</v>
      </c>
      <c r="E122" t="s">
        <v>51</v>
      </c>
      <c r="F122" t="s">
        <v>368</v>
      </c>
      <c r="G122" t="s">
        <v>369</v>
      </c>
      <c r="H122" t="s">
        <v>28</v>
      </c>
      <c r="I122" s="4">
        <v>5897.97</v>
      </c>
      <c r="J122" t="s">
        <v>29</v>
      </c>
      <c r="K122" t="s">
        <v>35</v>
      </c>
      <c r="L122" t="s">
        <v>22</v>
      </c>
      <c r="M122">
        <v>4</v>
      </c>
    </row>
    <row r="123" spans="1:13" x14ac:dyDescent="0.25">
      <c r="A123" t="s">
        <v>370</v>
      </c>
      <c r="B123" t="s">
        <v>24</v>
      </c>
      <c r="C123">
        <v>24</v>
      </c>
      <c r="D123" t="s">
        <v>47</v>
      </c>
      <c r="E123" t="s">
        <v>16</v>
      </c>
      <c r="F123" t="s">
        <v>371</v>
      </c>
      <c r="G123" t="s">
        <v>372</v>
      </c>
      <c r="H123" t="s">
        <v>41</v>
      </c>
      <c r="I123" s="4">
        <v>40476.730000000003</v>
      </c>
      <c r="J123" t="s">
        <v>29</v>
      </c>
      <c r="K123" t="s">
        <v>21</v>
      </c>
      <c r="L123" t="s">
        <v>22</v>
      </c>
      <c r="M123">
        <v>5</v>
      </c>
    </row>
    <row r="124" spans="1:13" x14ac:dyDescent="0.25">
      <c r="A124" t="s">
        <v>373</v>
      </c>
      <c r="B124" t="s">
        <v>24</v>
      </c>
      <c r="C124">
        <v>23</v>
      </c>
      <c r="D124" t="s">
        <v>37</v>
      </c>
      <c r="E124" t="s">
        <v>38</v>
      </c>
      <c r="F124" t="s">
        <v>112</v>
      </c>
      <c r="G124" t="s">
        <v>374</v>
      </c>
      <c r="H124" t="s">
        <v>34</v>
      </c>
      <c r="I124" s="4">
        <v>19960.2</v>
      </c>
      <c r="J124" t="s">
        <v>20</v>
      </c>
      <c r="K124" t="s">
        <v>35</v>
      </c>
      <c r="L124" t="s">
        <v>29</v>
      </c>
      <c r="M124">
        <v>3</v>
      </c>
    </row>
    <row r="125" spans="1:13" x14ac:dyDescent="0.25">
      <c r="A125" t="s">
        <v>375</v>
      </c>
      <c r="B125" t="s">
        <v>14</v>
      </c>
      <c r="C125">
        <v>53</v>
      </c>
      <c r="D125" t="s">
        <v>37</v>
      </c>
      <c r="E125" t="s">
        <v>38</v>
      </c>
      <c r="F125" t="s">
        <v>376</v>
      </c>
      <c r="G125" t="s">
        <v>113</v>
      </c>
      <c r="H125" t="s">
        <v>19</v>
      </c>
      <c r="I125" s="4">
        <v>17852.45</v>
      </c>
      <c r="J125" t="s">
        <v>29</v>
      </c>
      <c r="K125" t="s">
        <v>21</v>
      </c>
      <c r="L125" t="s">
        <v>22</v>
      </c>
      <c r="M125">
        <v>5</v>
      </c>
    </row>
    <row r="126" spans="1:13" x14ac:dyDescent="0.25">
      <c r="A126" t="s">
        <v>377</v>
      </c>
      <c r="B126" t="s">
        <v>24</v>
      </c>
      <c r="C126">
        <v>29</v>
      </c>
      <c r="D126" t="s">
        <v>15</v>
      </c>
      <c r="E126" t="s">
        <v>51</v>
      </c>
      <c r="F126" t="s">
        <v>378</v>
      </c>
      <c r="G126" t="s">
        <v>379</v>
      </c>
      <c r="H126" t="s">
        <v>19</v>
      </c>
      <c r="I126" s="4">
        <v>11163.63</v>
      </c>
      <c r="J126" t="s">
        <v>29</v>
      </c>
      <c r="K126" t="s">
        <v>35</v>
      </c>
      <c r="L126" t="s">
        <v>22</v>
      </c>
      <c r="M126">
        <v>2</v>
      </c>
    </row>
    <row r="127" spans="1:13" x14ac:dyDescent="0.25">
      <c r="A127" t="s">
        <v>380</v>
      </c>
      <c r="B127" t="s">
        <v>14</v>
      </c>
      <c r="C127">
        <v>39</v>
      </c>
      <c r="D127" t="s">
        <v>37</v>
      </c>
      <c r="E127" t="s">
        <v>51</v>
      </c>
      <c r="F127" t="s">
        <v>381</v>
      </c>
      <c r="G127" t="s">
        <v>201</v>
      </c>
      <c r="H127" t="s">
        <v>28</v>
      </c>
      <c r="I127" s="4">
        <v>29957.15</v>
      </c>
      <c r="J127" t="s">
        <v>20</v>
      </c>
      <c r="K127" t="s">
        <v>35</v>
      </c>
      <c r="L127" t="s">
        <v>29</v>
      </c>
      <c r="M127">
        <v>2</v>
      </c>
    </row>
    <row r="128" spans="1:13" x14ac:dyDescent="0.25">
      <c r="A128" t="s">
        <v>382</v>
      </c>
      <c r="B128" t="s">
        <v>14</v>
      </c>
      <c r="C128">
        <v>43</v>
      </c>
      <c r="D128" t="s">
        <v>37</v>
      </c>
      <c r="E128" t="s">
        <v>16</v>
      </c>
      <c r="F128" t="s">
        <v>383</v>
      </c>
      <c r="G128" t="s">
        <v>384</v>
      </c>
      <c r="H128" t="s">
        <v>19</v>
      </c>
      <c r="I128" s="4">
        <v>9803.93</v>
      </c>
      <c r="J128" t="s">
        <v>42</v>
      </c>
      <c r="K128" t="s">
        <v>35</v>
      </c>
      <c r="L128" t="s">
        <v>22</v>
      </c>
      <c r="M128">
        <v>1</v>
      </c>
    </row>
    <row r="129" spans="1:13" x14ac:dyDescent="0.25">
      <c r="A129" t="s">
        <v>385</v>
      </c>
      <c r="B129" t="s">
        <v>24</v>
      </c>
      <c r="C129">
        <v>57</v>
      </c>
      <c r="D129" t="s">
        <v>31</v>
      </c>
      <c r="E129" t="s">
        <v>51</v>
      </c>
      <c r="F129" t="s">
        <v>361</v>
      </c>
      <c r="G129" t="s">
        <v>386</v>
      </c>
      <c r="H129" t="s">
        <v>34</v>
      </c>
      <c r="I129" s="4">
        <v>12701.95</v>
      </c>
      <c r="J129" t="s">
        <v>20</v>
      </c>
      <c r="K129" t="s">
        <v>21</v>
      </c>
      <c r="L129" t="s">
        <v>29</v>
      </c>
      <c r="M129">
        <v>1</v>
      </c>
    </row>
    <row r="130" spans="1:13" x14ac:dyDescent="0.25">
      <c r="A130" t="s">
        <v>387</v>
      </c>
      <c r="B130" t="s">
        <v>24</v>
      </c>
      <c r="C130">
        <v>45</v>
      </c>
      <c r="D130" t="s">
        <v>47</v>
      </c>
      <c r="E130" t="s">
        <v>38</v>
      </c>
      <c r="F130" t="s">
        <v>388</v>
      </c>
      <c r="G130" t="s">
        <v>389</v>
      </c>
      <c r="H130" t="s">
        <v>28</v>
      </c>
      <c r="I130" s="4">
        <v>14861.19</v>
      </c>
      <c r="J130" t="s">
        <v>20</v>
      </c>
      <c r="K130" t="s">
        <v>21</v>
      </c>
      <c r="L130" t="s">
        <v>29</v>
      </c>
      <c r="M130">
        <v>2</v>
      </c>
    </row>
    <row r="131" spans="1:13" x14ac:dyDescent="0.25">
      <c r="A131" t="s">
        <v>390</v>
      </c>
      <c r="B131" t="s">
        <v>14</v>
      </c>
      <c r="C131">
        <v>59</v>
      </c>
      <c r="D131" t="s">
        <v>25</v>
      </c>
      <c r="E131" t="s">
        <v>38</v>
      </c>
      <c r="F131" t="s">
        <v>391</v>
      </c>
      <c r="G131" t="s">
        <v>392</v>
      </c>
      <c r="H131" t="s">
        <v>19</v>
      </c>
      <c r="I131" s="4">
        <v>20685.18</v>
      </c>
      <c r="J131" t="s">
        <v>29</v>
      </c>
      <c r="K131" t="s">
        <v>21</v>
      </c>
      <c r="L131" t="s">
        <v>29</v>
      </c>
      <c r="M131">
        <v>5</v>
      </c>
    </row>
    <row r="132" spans="1:13" x14ac:dyDescent="0.25">
      <c r="A132" t="s">
        <v>393</v>
      </c>
      <c r="B132" t="s">
        <v>14</v>
      </c>
      <c r="C132">
        <v>39</v>
      </c>
      <c r="D132" t="s">
        <v>15</v>
      </c>
      <c r="E132" t="s">
        <v>16</v>
      </c>
      <c r="F132" t="s">
        <v>394</v>
      </c>
      <c r="G132" t="s">
        <v>395</v>
      </c>
      <c r="H132" t="s">
        <v>54</v>
      </c>
      <c r="I132" s="4">
        <v>5898.71</v>
      </c>
      <c r="J132" t="s">
        <v>20</v>
      </c>
      <c r="K132" t="s">
        <v>21</v>
      </c>
      <c r="L132" t="s">
        <v>22</v>
      </c>
      <c r="M132">
        <v>5</v>
      </c>
    </row>
    <row r="133" spans="1:13" x14ac:dyDescent="0.25">
      <c r="A133" t="s">
        <v>396</v>
      </c>
      <c r="B133" t="s">
        <v>14</v>
      </c>
      <c r="C133">
        <v>26</v>
      </c>
      <c r="D133" t="s">
        <v>47</v>
      </c>
      <c r="E133" t="s">
        <v>16</v>
      </c>
      <c r="F133" t="s">
        <v>397</v>
      </c>
      <c r="G133" t="s">
        <v>398</v>
      </c>
      <c r="H133" t="s">
        <v>54</v>
      </c>
      <c r="I133" s="4">
        <v>8725.23</v>
      </c>
      <c r="J133" t="s">
        <v>29</v>
      </c>
      <c r="K133" t="s">
        <v>21</v>
      </c>
      <c r="L133" t="s">
        <v>29</v>
      </c>
      <c r="M133">
        <v>3</v>
      </c>
    </row>
    <row r="134" spans="1:13" x14ac:dyDescent="0.25">
      <c r="A134" t="s">
        <v>399</v>
      </c>
      <c r="B134" t="s">
        <v>24</v>
      </c>
      <c r="C134">
        <v>22</v>
      </c>
      <c r="D134" t="s">
        <v>25</v>
      </c>
      <c r="E134" t="s">
        <v>38</v>
      </c>
      <c r="F134" t="s">
        <v>255</v>
      </c>
      <c r="G134" t="s">
        <v>400</v>
      </c>
      <c r="H134" t="s">
        <v>34</v>
      </c>
      <c r="I134" s="4">
        <v>4352.2</v>
      </c>
      <c r="J134" t="s">
        <v>29</v>
      </c>
      <c r="K134" t="s">
        <v>35</v>
      </c>
      <c r="L134" t="s">
        <v>22</v>
      </c>
      <c r="M134">
        <v>5</v>
      </c>
    </row>
    <row r="135" spans="1:13" x14ac:dyDescent="0.25">
      <c r="A135" t="s">
        <v>401</v>
      </c>
      <c r="B135" t="s">
        <v>14</v>
      </c>
      <c r="C135">
        <v>38</v>
      </c>
      <c r="D135" t="s">
        <v>25</v>
      </c>
      <c r="E135" t="s">
        <v>16</v>
      </c>
      <c r="F135" t="s">
        <v>402</v>
      </c>
      <c r="G135" t="s">
        <v>403</v>
      </c>
      <c r="H135" t="s">
        <v>54</v>
      </c>
      <c r="I135" s="4">
        <v>3703.96</v>
      </c>
      <c r="J135" t="s">
        <v>42</v>
      </c>
      <c r="K135" t="s">
        <v>21</v>
      </c>
      <c r="L135" t="s">
        <v>22</v>
      </c>
      <c r="M135">
        <v>2</v>
      </c>
    </row>
    <row r="136" spans="1:13" x14ac:dyDescent="0.25">
      <c r="A136" t="s">
        <v>404</v>
      </c>
      <c r="B136" t="s">
        <v>24</v>
      </c>
      <c r="C136">
        <v>25</v>
      </c>
      <c r="D136" t="s">
        <v>37</v>
      </c>
      <c r="E136" t="s">
        <v>16</v>
      </c>
      <c r="F136" t="s">
        <v>405</v>
      </c>
      <c r="G136" t="s">
        <v>406</v>
      </c>
      <c r="H136" t="s">
        <v>28</v>
      </c>
      <c r="I136" s="4">
        <v>26747.43</v>
      </c>
      <c r="J136" t="s">
        <v>29</v>
      </c>
      <c r="K136" t="s">
        <v>21</v>
      </c>
      <c r="L136" t="s">
        <v>22</v>
      </c>
      <c r="M136">
        <v>4</v>
      </c>
    </row>
    <row r="137" spans="1:13" x14ac:dyDescent="0.25">
      <c r="A137" t="s">
        <v>407</v>
      </c>
      <c r="B137" t="s">
        <v>14</v>
      </c>
      <c r="C137">
        <v>24</v>
      </c>
      <c r="D137" t="s">
        <v>25</v>
      </c>
      <c r="E137" t="s">
        <v>38</v>
      </c>
      <c r="F137" t="s">
        <v>408</v>
      </c>
      <c r="G137" t="s">
        <v>40</v>
      </c>
      <c r="H137" t="s">
        <v>19</v>
      </c>
      <c r="I137" s="4">
        <v>7884.52</v>
      </c>
      <c r="J137" t="s">
        <v>29</v>
      </c>
      <c r="K137" t="s">
        <v>21</v>
      </c>
      <c r="L137" t="s">
        <v>22</v>
      </c>
      <c r="M137">
        <v>1</v>
      </c>
    </row>
    <row r="138" spans="1:13" x14ac:dyDescent="0.25">
      <c r="A138" t="s">
        <v>409</v>
      </c>
      <c r="B138" t="s">
        <v>24</v>
      </c>
      <c r="C138">
        <v>44</v>
      </c>
      <c r="D138" t="s">
        <v>31</v>
      </c>
      <c r="E138" t="s">
        <v>51</v>
      </c>
      <c r="F138" t="s">
        <v>410</v>
      </c>
      <c r="G138" t="s">
        <v>411</v>
      </c>
      <c r="H138" t="s">
        <v>34</v>
      </c>
      <c r="I138" s="4">
        <v>28436.77</v>
      </c>
      <c r="J138" t="s">
        <v>20</v>
      </c>
      <c r="K138" t="s">
        <v>21</v>
      </c>
      <c r="L138" t="s">
        <v>29</v>
      </c>
      <c r="M138">
        <v>1</v>
      </c>
    </row>
    <row r="139" spans="1:13" x14ac:dyDescent="0.25">
      <c r="A139" t="s">
        <v>412</v>
      </c>
      <c r="B139" t="s">
        <v>24</v>
      </c>
      <c r="C139">
        <v>52</v>
      </c>
      <c r="D139" t="s">
        <v>37</v>
      </c>
      <c r="E139" t="s">
        <v>38</v>
      </c>
      <c r="F139" t="s">
        <v>413</v>
      </c>
      <c r="G139" t="s">
        <v>414</v>
      </c>
      <c r="H139" t="s">
        <v>19</v>
      </c>
      <c r="I139" s="4">
        <v>28639.14</v>
      </c>
      <c r="J139" t="s">
        <v>20</v>
      </c>
      <c r="K139" t="s">
        <v>21</v>
      </c>
      <c r="L139" t="s">
        <v>29</v>
      </c>
      <c r="M139">
        <v>1</v>
      </c>
    </row>
    <row r="140" spans="1:13" x14ac:dyDescent="0.25">
      <c r="A140" t="s">
        <v>415</v>
      </c>
      <c r="B140" t="s">
        <v>14</v>
      </c>
      <c r="C140">
        <v>59</v>
      </c>
      <c r="D140" t="s">
        <v>15</v>
      </c>
      <c r="E140" t="s">
        <v>38</v>
      </c>
      <c r="F140" t="s">
        <v>416</v>
      </c>
      <c r="G140" t="s">
        <v>417</v>
      </c>
      <c r="H140" t="s">
        <v>54</v>
      </c>
      <c r="I140" s="4">
        <v>2605.46</v>
      </c>
      <c r="J140" t="s">
        <v>42</v>
      </c>
      <c r="K140" t="s">
        <v>35</v>
      </c>
      <c r="L140" t="s">
        <v>22</v>
      </c>
      <c r="M140">
        <v>1</v>
      </c>
    </row>
    <row r="141" spans="1:13" x14ac:dyDescent="0.25">
      <c r="A141" t="s">
        <v>418</v>
      </c>
      <c r="B141" t="s">
        <v>14</v>
      </c>
      <c r="C141">
        <v>38</v>
      </c>
      <c r="D141" t="s">
        <v>47</v>
      </c>
      <c r="E141" t="s">
        <v>38</v>
      </c>
      <c r="F141" t="s">
        <v>419</v>
      </c>
      <c r="G141" t="s">
        <v>420</v>
      </c>
      <c r="H141" t="s">
        <v>34</v>
      </c>
      <c r="I141" s="4">
        <v>26427.09</v>
      </c>
      <c r="J141" t="s">
        <v>29</v>
      </c>
      <c r="K141" t="s">
        <v>21</v>
      </c>
      <c r="L141" t="s">
        <v>22</v>
      </c>
      <c r="M141">
        <v>4</v>
      </c>
    </row>
    <row r="142" spans="1:13" x14ac:dyDescent="0.25">
      <c r="A142" t="s">
        <v>421</v>
      </c>
      <c r="B142" t="s">
        <v>14</v>
      </c>
      <c r="C142">
        <v>45</v>
      </c>
      <c r="D142" t="s">
        <v>31</v>
      </c>
      <c r="E142" t="s">
        <v>16</v>
      </c>
      <c r="F142" t="s">
        <v>422</v>
      </c>
      <c r="G142" t="s">
        <v>423</v>
      </c>
      <c r="H142" t="s">
        <v>34</v>
      </c>
      <c r="I142" s="4">
        <v>9277.02</v>
      </c>
      <c r="J142" t="s">
        <v>20</v>
      </c>
      <c r="K142" t="s">
        <v>35</v>
      </c>
      <c r="L142" t="s">
        <v>29</v>
      </c>
      <c r="M142">
        <v>4</v>
      </c>
    </row>
    <row r="143" spans="1:13" x14ac:dyDescent="0.25">
      <c r="A143" t="s">
        <v>424</v>
      </c>
      <c r="B143" t="s">
        <v>14</v>
      </c>
      <c r="C143">
        <v>31</v>
      </c>
      <c r="D143" t="s">
        <v>37</v>
      </c>
      <c r="E143" t="s">
        <v>51</v>
      </c>
      <c r="F143" t="s">
        <v>425</v>
      </c>
      <c r="G143" t="s">
        <v>426</v>
      </c>
      <c r="H143" t="s">
        <v>34</v>
      </c>
      <c r="I143" s="4">
        <v>8759.77</v>
      </c>
      <c r="J143" t="s">
        <v>42</v>
      </c>
      <c r="K143" t="s">
        <v>21</v>
      </c>
      <c r="L143" t="s">
        <v>29</v>
      </c>
      <c r="M143">
        <v>1</v>
      </c>
    </row>
    <row r="144" spans="1:13" x14ac:dyDescent="0.25">
      <c r="A144" t="s">
        <v>427</v>
      </c>
      <c r="B144" t="s">
        <v>14</v>
      </c>
      <c r="C144">
        <v>42</v>
      </c>
      <c r="D144" t="s">
        <v>47</v>
      </c>
      <c r="E144" t="s">
        <v>51</v>
      </c>
      <c r="F144" t="s">
        <v>74</v>
      </c>
      <c r="G144" t="s">
        <v>428</v>
      </c>
      <c r="H144" t="s">
        <v>19</v>
      </c>
      <c r="I144" s="4">
        <v>24835.39</v>
      </c>
      <c r="J144" t="s">
        <v>20</v>
      </c>
      <c r="K144" t="s">
        <v>21</v>
      </c>
      <c r="L144" t="s">
        <v>22</v>
      </c>
      <c r="M144">
        <v>3</v>
      </c>
    </row>
    <row r="145" spans="1:13" x14ac:dyDescent="0.25">
      <c r="A145" t="s">
        <v>429</v>
      </c>
      <c r="B145" t="s">
        <v>14</v>
      </c>
      <c r="C145">
        <v>23</v>
      </c>
      <c r="D145" t="s">
        <v>15</v>
      </c>
      <c r="E145" t="s">
        <v>38</v>
      </c>
      <c r="F145" t="s">
        <v>430</v>
      </c>
      <c r="G145" t="s">
        <v>431</v>
      </c>
      <c r="H145" t="s">
        <v>41</v>
      </c>
      <c r="I145" s="4">
        <v>18665.759999999998</v>
      </c>
      <c r="J145" t="s">
        <v>42</v>
      </c>
      <c r="K145" t="s">
        <v>21</v>
      </c>
      <c r="L145" t="s">
        <v>29</v>
      </c>
      <c r="M145">
        <v>5</v>
      </c>
    </row>
    <row r="146" spans="1:13" x14ac:dyDescent="0.25">
      <c r="A146" t="s">
        <v>432</v>
      </c>
      <c r="B146" t="s">
        <v>24</v>
      </c>
      <c r="C146">
        <v>36</v>
      </c>
      <c r="D146" t="s">
        <v>47</v>
      </c>
      <c r="E146" t="s">
        <v>38</v>
      </c>
      <c r="F146" t="s">
        <v>433</v>
      </c>
      <c r="G146" t="s">
        <v>434</v>
      </c>
      <c r="H146" t="s">
        <v>41</v>
      </c>
      <c r="I146" s="4">
        <v>41930.36</v>
      </c>
      <c r="J146" t="s">
        <v>42</v>
      </c>
      <c r="K146" t="s">
        <v>21</v>
      </c>
      <c r="L146" t="s">
        <v>22</v>
      </c>
      <c r="M146">
        <v>1</v>
      </c>
    </row>
    <row r="147" spans="1:13" x14ac:dyDescent="0.25">
      <c r="A147" t="s">
        <v>435</v>
      </c>
      <c r="B147" t="s">
        <v>14</v>
      </c>
      <c r="C147">
        <v>33</v>
      </c>
      <c r="D147" t="s">
        <v>31</v>
      </c>
      <c r="E147" t="s">
        <v>51</v>
      </c>
      <c r="F147" t="s">
        <v>436</v>
      </c>
      <c r="G147" t="s">
        <v>181</v>
      </c>
      <c r="H147" t="s">
        <v>28</v>
      </c>
      <c r="I147" s="4">
        <v>13643.46</v>
      </c>
      <c r="J147" t="s">
        <v>20</v>
      </c>
      <c r="K147" t="s">
        <v>35</v>
      </c>
      <c r="L147" t="s">
        <v>29</v>
      </c>
      <c r="M147">
        <v>4</v>
      </c>
    </row>
    <row r="148" spans="1:13" x14ac:dyDescent="0.25">
      <c r="A148" t="s">
        <v>437</v>
      </c>
      <c r="B148" t="s">
        <v>24</v>
      </c>
      <c r="C148">
        <v>45</v>
      </c>
      <c r="D148" t="s">
        <v>47</v>
      </c>
      <c r="E148" t="s">
        <v>38</v>
      </c>
      <c r="F148" t="s">
        <v>438</v>
      </c>
      <c r="G148" t="s">
        <v>439</v>
      </c>
      <c r="H148" t="s">
        <v>19</v>
      </c>
      <c r="I148" s="4">
        <v>28333.96</v>
      </c>
      <c r="J148" t="s">
        <v>29</v>
      </c>
      <c r="K148" t="s">
        <v>21</v>
      </c>
      <c r="L148" t="s">
        <v>22</v>
      </c>
      <c r="M148">
        <v>1</v>
      </c>
    </row>
    <row r="149" spans="1:13" x14ac:dyDescent="0.25">
      <c r="A149" t="s">
        <v>440</v>
      </c>
      <c r="B149" t="s">
        <v>14</v>
      </c>
      <c r="C149">
        <v>18</v>
      </c>
      <c r="D149" t="s">
        <v>31</v>
      </c>
      <c r="E149" t="s">
        <v>51</v>
      </c>
      <c r="F149" t="s">
        <v>441</v>
      </c>
      <c r="G149" t="s">
        <v>442</v>
      </c>
      <c r="H149" t="s">
        <v>54</v>
      </c>
      <c r="I149" s="4">
        <v>6947.96</v>
      </c>
      <c r="J149" t="s">
        <v>42</v>
      </c>
      <c r="K149" t="s">
        <v>35</v>
      </c>
      <c r="L149" t="s">
        <v>29</v>
      </c>
      <c r="M149">
        <v>3</v>
      </c>
    </row>
    <row r="150" spans="1:13" x14ac:dyDescent="0.25">
      <c r="A150" t="s">
        <v>443</v>
      </c>
      <c r="B150" t="s">
        <v>24</v>
      </c>
      <c r="C150">
        <v>32</v>
      </c>
      <c r="D150" t="s">
        <v>47</v>
      </c>
      <c r="E150" t="s">
        <v>38</v>
      </c>
      <c r="F150" t="s">
        <v>444</v>
      </c>
      <c r="G150" t="s">
        <v>392</v>
      </c>
      <c r="H150" t="s">
        <v>19</v>
      </c>
      <c r="I150" s="4">
        <v>20343.86</v>
      </c>
      <c r="J150" t="s">
        <v>20</v>
      </c>
      <c r="K150" t="s">
        <v>21</v>
      </c>
      <c r="L150" t="s">
        <v>22</v>
      </c>
      <c r="M150">
        <v>2</v>
      </c>
    </row>
    <row r="151" spans="1:13" x14ac:dyDescent="0.25">
      <c r="A151" t="s">
        <v>445</v>
      </c>
      <c r="B151" t="s">
        <v>24</v>
      </c>
      <c r="C151">
        <v>35</v>
      </c>
      <c r="D151" t="s">
        <v>25</v>
      </c>
      <c r="E151" t="s">
        <v>38</v>
      </c>
      <c r="F151" t="s">
        <v>446</v>
      </c>
      <c r="G151" t="s">
        <v>447</v>
      </c>
      <c r="H151" t="s">
        <v>34</v>
      </c>
      <c r="I151" s="4">
        <v>3384.88</v>
      </c>
      <c r="J151" t="s">
        <v>42</v>
      </c>
      <c r="K151" t="s">
        <v>35</v>
      </c>
      <c r="L151" t="s">
        <v>29</v>
      </c>
      <c r="M1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Povit</vt:lpstr>
      <vt:lpstr>Dashboard</vt:lpstr>
      <vt:lpstr>Customer_Behavior_Data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2A1N</cp:lastModifiedBy>
  <dcterms:created xsi:type="dcterms:W3CDTF">2026-02-22T14:59:53Z</dcterms:created>
  <dcterms:modified xsi:type="dcterms:W3CDTF">2026-03-01T15:33:26Z</dcterms:modified>
</cp:coreProperties>
</file>